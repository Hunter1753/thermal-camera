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7945" windowHeight="12375" tabRatio="600" firstSheet="0" activeTab="1" autoFilterDateGrouping="1"/>
  </bookViews>
  <sheets>
    <sheet xmlns:r="http://schemas.openxmlformats.org/officeDocument/2006/relationships" name="Version Information" sheetId="1" state="visible" r:id="rId1"/>
    <sheet xmlns:r="http://schemas.openxmlformats.org/officeDocument/2006/relationships" name="Serial Port and I2C Instruction Set List" sheetId="2" state="visible" r:id="rId2"/>
    <sheet xmlns:r="http://schemas.openxmlformats.org/officeDocument/2006/relationships" name="Serial Command Format Description + Video Output Format Settings" sheetId="3" state="visible" r:id="rId3"/>
    <sheet xmlns:r="http://schemas.openxmlformats.org/officeDocument/2006/relationships" name="I2C instruction table instruction format description" sheetId="4" state="visible" r:id="rId4"/>
    <sheet xmlns:r="http://schemas.openxmlformats.org/officeDocument/2006/relationships" name="SDK uses API" sheetId="5" state="visible" r:id="rId5"/>
  </sheets>
  <definedNames/>
  <calcPr calcId="191029" fullCalcOnLoad="1"/>
</workbook>
</file>

<file path=xl/styles.xml><?xml version="1.0" encoding="utf-8"?>
<styleSheet xmlns="http://schemas.openxmlformats.org/spreadsheetml/2006/main">
  <numFmts count="0"/>
  <fonts count="30">
    <font>
      <name val="等线"/>
      <charset val="134"/>
      <color theme="1"/>
      <sz val="11"/>
      <scheme val="minor"/>
    </font>
    <font>
      <name val="Arial"/>
      <charset val="134"/>
      <color rgb="FF333333"/>
      <sz val="10"/>
    </font>
    <font>
      <name val="等线"/>
      <charset val="134"/>
      <color rgb="FFFF0000"/>
      <sz val="11"/>
      <scheme val="minor"/>
    </font>
    <font>
      <name val="等线"/>
      <charset val="134"/>
      <sz val="11"/>
      <scheme val="minor"/>
    </font>
    <font>
      <name val="Arial"/>
      <charset val="134"/>
      <b val="1"/>
      <color rgb="FF000000"/>
      <sz val="9"/>
    </font>
    <font>
      <name val="Arial"/>
      <charset val="134"/>
      <color rgb="FF000000"/>
      <sz val="9"/>
    </font>
    <font>
      <name val="宋体"/>
      <charset val="134"/>
      <b val="1"/>
      <color rgb="FF000000"/>
      <sz val="9"/>
    </font>
    <font>
      <name val="等线"/>
      <charset val="134"/>
      <b val="1"/>
      <color theme="1"/>
      <sz val="18"/>
      <scheme val="minor"/>
    </font>
    <font>
      <name val="等线"/>
      <charset val="134"/>
      <b val="1"/>
      <color theme="1"/>
      <sz val="11"/>
      <scheme val="minor"/>
    </font>
    <font>
      <name val="等线"/>
      <charset val="134"/>
      <b val="1"/>
      <color rgb="FFFF0000"/>
      <sz val="11"/>
      <scheme val="minor"/>
    </font>
    <font>
      <name val="等线"/>
      <charset val="134"/>
      <color theme="1"/>
      <sz val="12"/>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44">
    <fill>
      <patternFill/>
    </fill>
    <fill>
      <patternFill patternType="gray125"/>
    </fill>
    <fill>
      <patternFill patternType="solid">
        <fgColor theme="9"/>
        <bgColor indexed="64"/>
      </patternFill>
    </fill>
    <fill>
      <patternFill patternType="solid">
        <fgColor rgb="FFFF0000"/>
        <bgColor indexed="64"/>
      </patternFill>
    </fill>
    <fill>
      <patternFill patternType="solid">
        <fgColor theme="0"/>
        <bgColor indexed="64"/>
      </patternFill>
    </fill>
    <fill>
      <patternFill patternType="solid">
        <fgColor rgb="FFC4D79B"/>
        <bgColor indexed="64"/>
      </patternFill>
    </fill>
    <fill>
      <patternFill patternType="solid">
        <fgColor rgb="FFFABF8F"/>
        <bgColor indexed="64"/>
      </patternFill>
    </fill>
    <fill>
      <patternFill patternType="solid">
        <fgColor rgb="FF95B3D7"/>
        <bgColor indexed="64"/>
      </patternFill>
    </fill>
    <fill>
      <patternFill patternType="solid">
        <fgColor rgb="FFFFC000"/>
        <bgColor indexed="64"/>
      </patternFill>
    </fill>
    <fill>
      <patternFill patternType="solid">
        <fgColor theme="0" tint="-0.14996795556505"/>
        <bgColor indexed="64"/>
      </patternFill>
    </fill>
    <fill>
      <patternFill patternType="solid">
        <fgColor rgb="FF00B050"/>
        <bgColor indexed="64"/>
      </patternFill>
    </fill>
    <fill>
      <patternFill patternType="solid">
        <fgColor theme="0" tint="-0.149998474074526"/>
        <bgColor indexed="64"/>
      </patternFill>
    </fill>
    <fill>
      <patternFill patternType="solid">
        <fgColor theme="5"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2">
    <border>
      <left/>
      <right/>
      <top/>
      <bottom/>
      <diagonal/>
    </border>
    <border>
      <left style="thin">
        <color theme="0" tint="-0.149876400036622"/>
      </left>
      <right style="thin">
        <color theme="0" tint="-0.149876400036622"/>
      </right>
      <top style="thin">
        <color theme="0" tint="-0.149876400036622"/>
      </top>
      <bottom style="thin">
        <color theme="0" tint="-0.149876400036622"/>
      </bottom>
      <diagonal/>
    </border>
    <border>
      <left style="thin">
        <color theme="0" tint="-0.149876400036622"/>
      </left>
      <right style="thin">
        <color theme="0" tint="-0.149876400036622"/>
      </right>
      <top style="thin">
        <color theme="0" tint="-0.149876400036622"/>
      </top>
      <bottom/>
      <diagonal/>
    </border>
    <border>
      <left style="hair">
        <color auto="1"/>
      </left>
      <right style="hair">
        <color auto="1"/>
      </right>
      <top style="hair">
        <color auto="1"/>
      </top>
      <bottom style="hair">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style="medium">
        <color rgb="FF000000"/>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medium">
        <color auto="1"/>
      </top>
      <bottom/>
      <diagonal/>
    </border>
    <border>
      <left style="thin">
        <color auto="1"/>
      </left>
      <right/>
      <top/>
      <bottom style="medium">
        <color auto="1"/>
      </bottom>
      <diagonal/>
    </border>
    <border>
      <left/>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medium">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theme="2"/>
      </left>
      <right style="thin">
        <color theme="2"/>
      </right>
      <top style="thin">
        <color theme="2"/>
      </top>
      <bottom style="thin">
        <color theme="2"/>
      </bottom>
      <diagonal/>
    </border>
    <border>
      <left/>
      <right style="thin">
        <color theme="0" tint="-0.149876400036622"/>
      </right>
      <top style="thin">
        <color theme="0" tint="-0.149876400036622"/>
      </top>
      <bottom style="thin">
        <color theme="0" tint="-0.149876400036622"/>
      </bottom>
      <diagonal/>
    </border>
    <border>
      <left style="medium">
        <color auto="1"/>
      </left>
      <right/>
      <top style="medium">
        <color auto="1"/>
      </top>
      <bottom/>
      <diagonal/>
    </border>
    <border>
      <left/>
      <right style="medium">
        <color auto="1"/>
      </right>
      <top style="medium">
        <color auto="1"/>
      </top>
      <bottom/>
      <diagonal/>
    </border>
    <border>
      <left/>
      <right style="thin">
        <color theme="2"/>
      </right>
      <top style="thin">
        <color theme="2"/>
      </top>
      <bottom style="thin">
        <color theme="2"/>
      </bottom>
      <diagonal/>
    </border>
    <border>
      <left/>
      <right/>
      <top style="thin">
        <color theme="0" tint="-0.149876400036622"/>
      </top>
      <bottom style="thin">
        <color theme="0" tint="-0.149876400036622"/>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thin">
        <color auto="1"/>
      </right>
      <top/>
      <bottom style="medium">
        <color auto="1"/>
      </bottom>
      <diagonal/>
    </border>
    <border>
      <left style="medium">
        <color auto="1"/>
      </left>
      <right style="thin">
        <color theme="0" tint="-0.149876400036622"/>
      </right>
      <top/>
      <bottom style="thin">
        <color theme="0" tint="-0.149876400036622"/>
      </bottom>
      <diagonal/>
    </border>
    <border>
      <left style="thin">
        <color theme="0" tint="-0.149876400036622"/>
      </left>
      <right style="thin">
        <color theme="0" tint="-0.149876400036622"/>
      </right>
      <top/>
      <bottom style="thin">
        <color theme="0" tint="-0.149876400036622"/>
      </bottom>
      <diagonal/>
    </border>
    <border>
      <left style="thin">
        <color theme="0" tint="-0.149876400036622"/>
      </left>
      <right style="medium">
        <color auto="1"/>
      </right>
      <top/>
      <bottom style="thin">
        <color theme="0" tint="-0.149876400036622"/>
      </bottom>
      <diagonal/>
    </border>
    <border>
      <left/>
      <right style="thin">
        <color theme="2"/>
      </right>
      <top/>
      <bottom style="thin">
        <color theme="2"/>
      </bottom>
      <diagonal/>
    </border>
    <border>
      <left/>
      <right style="thin">
        <color theme="0" tint="-0.149876400036622"/>
      </right>
      <top/>
      <bottom style="thin">
        <color theme="0" tint="-0.149876400036622"/>
      </bottom>
      <diagonal/>
    </border>
    <border>
      <left style="medium">
        <color auto="1"/>
      </left>
      <right style="thin">
        <color theme="0" tint="-0.149876400036622"/>
      </right>
      <top style="thin">
        <color theme="0" tint="-0.149876400036622"/>
      </top>
      <bottom style="thin">
        <color theme="0" tint="-0.149876400036622"/>
      </bottom>
      <diagonal/>
    </border>
    <border>
      <left style="thin">
        <color theme="0" tint="-0.149876400036622"/>
      </left>
      <right style="medium">
        <color auto="1"/>
      </right>
      <top style="thin">
        <color theme="0" tint="-0.149876400036622"/>
      </top>
      <bottom style="thin">
        <color theme="0" tint="-0.149876400036622"/>
      </bottom>
      <diagonal/>
    </border>
    <border>
      <left style="thin">
        <color theme="0" tint="-0.149876400036622"/>
      </left>
      <right style="medium">
        <color auto="1"/>
      </right>
      <top style="thin">
        <color theme="0" tint="-0.149876400036622"/>
      </top>
      <bottom/>
      <diagonal/>
    </border>
    <border>
      <left style="thin">
        <color theme="0" tint="-0.149876400036622"/>
      </left>
      <right style="medium">
        <color auto="1"/>
      </right>
      <top/>
      <bottom/>
      <diagonal/>
    </border>
    <border>
      <left style="thin">
        <color theme="0" tint="-0.149876400036622"/>
      </left>
      <right style="thin">
        <color theme="0" tint="-0.149876400036622"/>
      </right>
      <top/>
      <bottom/>
      <diagonal/>
    </border>
    <border>
      <left style="medium">
        <color auto="1"/>
      </left>
      <right style="thin">
        <color theme="0" tint="-0.149876400036622"/>
      </right>
      <top style="thin">
        <color theme="0" tint="-0.149876400036622"/>
      </top>
      <bottom style="medium">
        <color auto="1"/>
      </bottom>
      <diagonal/>
    </border>
    <border>
      <left style="thin">
        <color theme="0" tint="-0.149876400036622"/>
      </left>
      <right style="thin">
        <color theme="0" tint="-0.149876400036622"/>
      </right>
      <top/>
      <bottom style="medium">
        <color auto="1"/>
      </bottom>
      <diagonal/>
    </border>
    <border>
      <left style="thin">
        <color theme="0" tint="-0.149876400036622"/>
      </left>
      <right style="thin">
        <color theme="0" tint="-0.149876400036622"/>
      </right>
      <top style="thin">
        <color theme="0" tint="-0.149876400036622"/>
      </top>
      <bottom style="medium">
        <color auto="1"/>
      </bottom>
      <diagonal/>
    </border>
    <border>
      <left style="thin">
        <color theme="0" tint="-0.149876400036622"/>
      </left>
      <right style="medium">
        <color auto="1"/>
      </right>
      <top style="thin">
        <color theme="0" tint="-0.149876400036622"/>
      </top>
      <bottom style="medium">
        <color auto="1"/>
      </bottom>
      <diagonal/>
    </border>
    <border>
      <left style="medium">
        <color auto="1"/>
      </left>
      <right style="thin">
        <color theme="0" tint="-0.149876400036622"/>
      </right>
      <top style="medium">
        <color auto="1"/>
      </top>
      <bottom style="thin">
        <color theme="0" tint="-0.149876400036622"/>
      </bottom>
      <diagonal/>
    </border>
    <border>
      <left style="thin">
        <color theme="0" tint="-0.149876400036622"/>
      </left>
      <right style="thin">
        <color theme="0" tint="-0.149876400036622"/>
      </right>
      <top style="medium">
        <color auto="1"/>
      </top>
      <bottom style="thin">
        <color theme="0" tint="-0.149876400036622"/>
      </bottom>
      <diagonal/>
    </border>
    <border>
      <left style="thin">
        <color theme="0" tint="-0.149876400036622"/>
      </left>
      <right style="medium">
        <color auto="1"/>
      </right>
      <top style="medium">
        <color auto="1"/>
      </top>
      <bottom style="thin">
        <color theme="0" tint="-0.149876400036622"/>
      </bottom>
      <diagonal/>
    </border>
    <border>
      <left style="thin">
        <color theme="0" tint="-0.149845881527146"/>
      </left>
      <right style="thin">
        <color theme="0" tint="-0.149845881527146"/>
      </right>
      <top/>
      <bottom style="thin">
        <color theme="0" tint="-0.149845881527146"/>
      </bottom>
      <diagonal/>
    </border>
    <border>
      <left/>
      <right style="thin">
        <color theme="0" tint="-0.149845881527146"/>
      </right>
      <top style="thin">
        <color theme="0" tint="-0.149845881527146"/>
      </top>
      <bottom style="thin">
        <color theme="0" tint="-0.149845881527146"/>
      </bottom>
      <diagonal/>
    </border>
    <border>
      <left style="thin">
        <color theme="0" tint="-0.149876400036622"/>
      </left>
      <right style="medium">
        <color theme="1"/>
      </right>
      <top style="thin">
        <color theme="0" tint="-0.149876400036622"/>
      </top>
      <bottom style="thin">
        <color theme="0" tint="-0.149876400036622"/>
      </bottom>
      <diagonal/>
    </border>
    <border>
      <left style="medium">
        <color auto="1"/>
      </left>
      <right style="thin">
        <color theme="0" tint="-0.149876400036622"/>
      </right>
      <top style="thin">
        <color theme="0" tint="-0.149876400036622"/>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auto="1"/>
      </left>
      <right style="medium">
        <color auto="1"/>
      </right>
      <top style="medium">
        <color auto="1"/>
      </top>
      <bottom/>
      <diagonal/>
    </border>
    <border>
      <left/>
      <right/>
      <top style="thin">
        <color theme="0" tint="-0.149876400036622"/>
      </top>
      <bottom/>
      <diagonal/>
    </border>
    <border>
      <left/>
      <right style="thin">
        <color theme="0" tint="-0.149876400036622"/>
      </right>
      <top style="thin">
        <color theme="0" tint="-0.149876400036622"/>
      </top>
      <bottom/>
      <diagonal/>
    </border>
    <border>
      <left style="medium">
        <color auto="1"/>
      </left>
      <right style="thin">
        <color theme="0" tint="-0.149876400036622"/>
      </right>
      <top/>
      <bottom/>
      <diagonal/>
    </border>
    <border>
      <left style="thin">
        <color theme="0" tint="-0.149876400036622"/>
      </left>
      <right/>
      <top/>
      <bottom/>
      <diagonal/>
    </border>
    <border>
      <left style="medium">
        <color auto="1"/>
      </left>
      <right style="thin">
        <color auto="1"/>
      </right>
      <top/>
      <bottom style="medium">
        <color auto="1"/>
      </bottom>
      <diagonal/>
    </border>
    <border>
      <left/>
      <right style="medium">
        <color rgb="FF000000"/>
      </right>
      <top style="medium">
        <color auto="1"/>
      </top>
      <bottom/>
      <diagonal/>
    </border>
    <border>
      <left style="thin">
        <color auto="1"/>
      </left>
      <right style="thin">
        <color auto="1"/>
      </right>
      <top style="medium">
        <color auto="1"/>
      </top>
      <bottom style="thin">
        <color auto="1"/>
      </bottom>
      <diagonal/>
    </border>
    <border>
      <left/>
      <right style="thin">
        <color auto="1"/>
      </right>
      <top style="medium">
        <color auto="1"/>
      </top>
      <bottom/>
      <diagonal/>
    </border>
    <border>
      <left style="thin">
        <color auto="1"/>
      </left>
      <right/>
      <top style="medium">
        <color auto="1"/>
      </top>
      <bottom style="medium">
        <color auto="1"/>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14" borderId="64"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65" applyAlignment="1">
      <alignment vertical="center"/>
    </xf>
    <xf numFmtId="0" fontId="17" fillId="0" borderId="65" applyAlignment="1">
      <alignment vertical="center"/>
    </xf>
    <xf numFmtId="0" fontId="18" fillId="0" borderId="66" applyAlignment="1">
      <alignment vertical="center"/>
    </xf>
    <xf numFmtId="0" fontId="18" fillId="0" borderId="0" applyAlignment="1">
      <alignment vertical="center"/>
    </xf>
    <xf numFmtId="0" fontId="19" fillId="15" borderId="67" applyAlignment="1">
      <alignment vertical="center"/>
    </xf>
    <xf numFmtId="0" fontId="20" fillId="16" borderId="68" applyAlignment="1">
      <alignment vertical="center"/>
    </xf>
    <xf numFmtId="0" fontId="21" fillId="16" borderId="67" applyAlignment="1">
      <alignment vertical="center"/>
    </xf>
    <xf numFmtId="0" fontId="22" fillId="17" borderId="69" applyAlignment="1">
      <alignment vertical="center"/>
    </xf>
    <xf numFmtId="0" fontId="23" fillId="0" borderId="70" applyAlignment="1">
      <alignment vertical="center"/>
    </xf>
    <xf numFmtId="0" fontId="24" fillId="0" borderId="71" applyAlignment="1">
      <alignment vertical="center"/>
    </xf>
    <xf numFmtId="0" fontId="25" fillId="18" borderId="0" applyAlignment="1">
      <alignment vertical="center"/>
    </xf>
    <xf numFmtId="0" fontId="26" fillId="19" borderId="0" applyAlignment="1">
      <alignment vertical="center"/>
    </xf>
    <xf numFmtId="0" fontId="27" fillId="20" borderId="0" applyAlignment="1">
      <alignment vertical="center"/>
    </xf>
    <xf numFmtId="0" fontId="28" fillId="21" borderId="0" applyAlignment="1">
      <alignment vertical="center"/>
    </xf>
    <xf numFmtId="0" fontId="29" fillId="22" borderId="0" applyAlignment="1">
      <alignment vertical="center"/>
    </xf>
    <xf numFmtId="0" fontId="29" fillId="23" borderId="0" applyAlignment="1">
      <alignment vertical="center"/>
    </xf>
    <xf numFmtId="0" fontId="28" fillId="24" borderId="0" applyAlignment="1">
      <alignment vertical="center"/>
    </xf>
    <xf numFmtId="0" fontId="28" fillId="25" borderId="0" applyAlignment="1">
      <alignment vertical="center"/>
    </xf>
    <xf numFmtId="0" fontId="29" fillId="26" borderId="0" applyAlignment="1">
      <alignment vertical="center"/>
    </xf>
    <xf numFmtId="0" fontId="29" fillId="27" borderId="0" applyAlignment="1">
      <alignment vertical="center"/>
    </xf>
    <xf numFmtId="0" fontId="28" fillId="28" borderId="0" applyAlignment="1">
      <alignment vertical="center"/>
    </xf>
    <xf numFmtId="0" fontId="28" fillId="29" borderId="0" applyAlignment="1">
      <alignment vertical="center"/>
    </xf>
    <xf numFmtId="0" fontId="29" fillId="30" borderId="0" applyAlignment="1">
      <alignment vertical="center"/>
    </xf>
    <xf numFmtId="0" fontId="29" fillId="31" borderId="0" applyAlignment="1">
      <alignment vertical="center"/>
    </xf>
    <xf numFmtId="0" fontId="28" fillId="32" borderId="0" applyAlignment="1">
      <alignment vertical="center"/>
    </xf>
    <xf numFmtId="0" fontId="28" fillId="33" borderId="0" applyAlignment="1">
      <alignment vertical="center"/>
    </xf>
    <xf numFmtId="0" fontId="29" fillId="34" borderId="0" applyAlignment="1">
      <alignment vertical="center"/>
    </xf>
    <xf numFmtId="0" fontId="29" fillId="35" borderId="0" applyAlignment="1">
      <alignment vertical="center"/>
    </xf>
    <xf numFmtId="0" fontId="28" fillId="36" borderId="0" applyAlignment="1">
      <alignment vertical="center"/>
    </xf>
    <xf numFmtId="0" fontId="28" fillId="37" borderId="0" applyAlignment="1">
      <alignment vertical="center"/>
    </xf>
    <xf numFmtId="0" fontId="29" fillId="38" borderId="0" applyAlignment="1">
      <alignment vertical="center"/>
    </xf>
    <xf numFmtId="0" fontId="29" fillId="39" borderId="0" applyAlignment="1">
      <alignment vertical="center"/>
    </xf>
    <xf numFmtId="0" fontId="28" fillId="40" borderId="0" applyAlignment="1">
      <alignment vertical="center"/>
    </xf>
    <xf numFmtId="0" fontId="28" fillId="2" borderId="0" applyAlignment="1">
      <alignment vertical="center"/>
    </xf>
    <xf numFmtId="0" fontId="29" fillId="41" borderId="0" applyAlignment="1">
      <alignment vertical="center"/>
    </xf>
    <xf numFmtId="0" fontId="29" fillId="42" borderId="0" applyAlignment="1">
      <alignment vertical="center"/>
    </xf>
    <xf numFmtId="0" fontId="28" fillId="43" borderId="0" applyAlignment="1">
      <alignment vertical="center"/>
    </xf>
  </cellStyleXfs>
  <cellXfs count="251">
    <xf numFmtId="0" fontId="0" fillId="0" borderId="0" pivotButton="0" quotePrefix="0" xfId="0"/>
    <xf numFmtId="0" fontId="0" fillId="0" borderId="0" applyAlignment="1" pivotButton="0" quotePrefix="0" xfId="0">
      <alignment horizontal="center" vertical="center"/>
    </xf>
    <xf numFmtId="0" fontId="0" fillId="2" borderId="0" applyAlignment="1" pivotButton="0" quotePrefix="0" xfId="0">
      <alignment horizontal="center"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vertical="top"/>
    </xf>
    <xf numFmtId="0" fontId="0" fillId="4" borderId="1" applyAlignment="1" pivotButton="0" quotePrefix="0" xfId="0">
      <alignment horizontal="left" vertical="center"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4" borderId="2" applyAlignment="1" pivotButton="0" quotePrefix="0" xfId="0">
      <alignment horizontal="left" vertical="center" wrapText="1"/>
    </xf>
    <xf numFmtId="0" fontId="0" fillId="0" borderId="3" applyAlignment="1" pivotButton="0" quotePrefix="0" xfId="0">
      <alignment horizontal="left" vertical="center"/>
    </xf>
    <xf numFmtId="0" fontId="1" fillId="0" borderId="0" applyAlignment="1" pivotButton="0" quotePrefix="0" xfId="0">
      <alignment horizontal="left" vertical="top"/>
    </xf>
    <xf numFmtId="0" fontId="0" fillId="0" borderId="0" applyAlignment="1" pivotButton="0" quotePrefix="0" xfId="0">
      <alignment vertical="center"/>
    </xf>
    <xf numFmtId="0" fontId="0" fillId="0" borderId="4" applyAlignment="1" pivotButton="0" quotePrefix="0" xfId="0">
      <alignment horizontal="center" vertical="center"/>
    </xf>
    <xf numFmtId="0" fontId="0" fillId="4" borderId="5" applyAlignment="1" pivotButton="0" quotePrefix="0" xfId="0">
      <alignment horizontal="left" vertical="center" wrapText="1"/>
    </xf>
    <xf numFmtId="0" fontId="0" fillId="0" borderId="0" applyAlignment="1" pivotButton="0" quotePrefix="0" xfId="0">
      <alignment wrapText="1"/>
    </xf>
    <xf numFmtId="0" fontId="0" fillId="0" borderId="0" pivotButton="0" quotePrefix="0" xfId="0"/>
    <xf numFmtId="0" fontId="0" fillId="4" borderId="6" applyAlignment="1" pivotButton="0" quotePrefix="0" xfId="0">
      <alignment horizontal="left" vertical="center" wrapText="1"/>
    </xf>
    <xf numFmtId="0" fontId="0" fillId="4" borderId="7" applyAlignment="1" pivotButton="0" quotePrefix="0" xfId="0">
      <alignment horizontal="left" vertical="center" wrapText="1"/>
    </xf>
    <xf numFmtId="0" fontId="0" fillId="0" borderId="0" applyAlignment="1" pivotButton="0" quotePrefix="0" xfId="0">
      <alignment horizontal="left" vertical="center"/>
    </xf>
    <xf numFmtId="0" fontId="2" fillId="0" borderId="0" pivotButton="0" quotePrefix="0" xfId="0"/>
    <xf numFmtId="0" fontId="0" fillId="0" borderId="0" applyAlignment="1" pivotButton="0" quotePrefix="0" xfId="0">
      <alignment horizontal="left" vertical="center" wrapText="1"/>
    </xf>
    <xf numFmtId="0" fontId="0" fillId="0" borderId="0" applyAlignment="1" pivotButton="0" quotePrefix="0" xfId="0">
      <alignment vertical="center"/>
    </xf>
    <xf numFmtId="0" fontId="1" fillId="0" borderId="0" applyAlignment="1" pivotButton="0" quotePrefix="0" xfId="0">
      <alignment horizontal="lef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xf>
    <xf numFmtId="0" fontId="2" fillId="0" borderId="0" applyAlignment="1" pivotButton="0" quotePrefix="0" xfId="0">
      <alignment vertical="top" wrapText="1"/>
    </xf>
    <xf numFmtId="0" fontId="2" fillId="0" borderId="0" applyAlignment="1" pivotButton="0" quotePrefix="0" xfId="0">
      <alignment wrapText="1"/>
    </xf>
    <xf numFmtId="0" fontId="2" fillId="0" borderId="0" applyAlignment="1" pivotButton="0" quotePrefix="0" xfId="0">
      <alignment horizontal="left" vertical="top" wrapText="1"/>
    </xf>
    <xf numFmtId="0" fontId="0" fillId="0" borderId="0" applyAlignment="1" pivotButton="0" quotePrefix="0" xfId="0">
      <alignment horizontal="left"/>
    </xf>
    <xf numFmtId="0" fontId="3" fillId="0" borderId="0" applyAlignment="1" pivotButton="0" quotePrefix="0" xfId="0">
      <alignment horizontal="center" vertical="center"/>
    </xf>
    <xf numFmtId="0" fontId="1" fillId="0" borderId="0" pivotButton="0" quotePrefix="0" xfId="0"/>
    <xf numFmtId="0" fontId="0" fillId="2" borderId="0" applyAlignment="1" pivotButton="0" quotePrefix="0" xfId="0">
      <alignment horizontal="center"/>
    </xf>
    <xf numFmtId="0" fontId="0" fillId="0" borderId="0" applyAlignment="1" pivotButton="0" quotePrefix="0" xfId="0">
      <alignment horizontal="left" vertical="top" wrapText="1"/>
    </xf>
    <xf numFmtId="0" fontId="0" fillId="0" borderId="0" applyAlignment="1" pivotButton="0" quotePrefix="0" xfId="0">
      <alignment horizontal="left"/>
    </xf>
    <xf numFmtId="0" fontId="4" fillId="5" borderId="8" applyAlignment="1" pivotButton="0" quotePrefix="0" xfId="0">
      <alignment horizontal="left"/>
    </xf>
    <xf numFmtId="0" fontId="5" fillId="5" borderId="8" applyAlignment="1" pivotButton="0" quotePrefix="0" xfId="0">
      <alignment horizontal="left"/>
    </xf>
    <xf numFmtId="0" fontId="4" fillId="6" borderId="9" applyAlignment="1" pivotButton="0" quotePrefix="0" xfId="0">
      <alignment horizontal="left"/>
    </xf>
    <xf numFmtId="0" fontId="4" fillId="7" borderId="10" applyAlignment="1" pivotButton="0" quotePrefix="0" xfId="0">
      <alignment horizontal="left"/>
    </xf>
    <xf numFmtId="0" fontId="5" fillId="6" borderId="11" applyAlignment="1" pivotButton="0" quotePrefix="0" xfId="0">
      <alignment horizontal="left" wrapText="1"/>
    </xf>
    <xf numFmtId="0" fontId="4" fillId="7" borderId="11" applyAlignment="1" pivotButton="0" quotePrefix="0" xfId="0">
      <alignment horizontal="left"/>
    </xf>
    <xf numFmtId="0" fontId="4" fillId="5" borderId="9" applyAlignment="1" pivotButton="0" quotePrefix="0" xfId="0">
      <alignment horizontal="left"/>
    </xf>
    <xf numFmtId="0" fontId="4" fillId="7" borderId="9" applyAlignment="1" pivotButton="0" quotePrefix="0" xfId="0">
      <alignment horizontal="center"/>
    </xf>
    <xf numFmtId="0" fontId="5" fillId="5" borderId="11" applyAlignment="1" pivotButton="0" quotePrefix="0" xfId="0">
      <alignment horizontal="left"/>
    </xf>
    <xf numFmtId="0" fontId="4" fillId="7" borderId="11" applyAlignment="1" pivotButton="0" quotePrefix="0" xfId="0">
      <alignment horizontal="center"/>
    </xf>
    <xf numFmtId="0" fontId="4" fillId="5" borderId="12" applyAlignment="1" pivotButton="0" quotePrefix="0" xfId="0">
      <alignment horizontal="left"/>
    </xf>
    <xf numFmtId="0" fontId="5" fillId="6" borderId="11" applyAlignment="1" pivotButton="0" quotePrefix="0" xfId="0">
      <alignment wrapText="1"/>
    </xf>
    <xf numFmtId="0" fontId="4" fillId="7" borderId="9" applyAlignment="1" pivotButton="0" quotePrefix="0" xfId="0">
      <alignment horizontal="left"/>
    </xf>
    <xf numFmtId="0" fontId="6" fillId="7" borderId="11" applyAlignment="1" pivotButton="0" quotePrefix="0" xfId="0">
      <alignment horizontal="left"/>
    </xf>
    <xf numFmtId="0" fontId="4" fillId="7" borderId="13" applyAlignment="1" pivotButton="0" quotePrefix="0" xfId="0">
      <alignment horizontal="center"/>
    </xf>
    <xf numFmtId="0" fontId="0" fillId="8" borderId="14" applyAlignment="1" pivotButton="0" quotePrefix="0" xfId="0">
      <alignment horizontal="center" vertical="center"/>
    </xf>
    <xf numFmtId="0" fontId="0" fillId="8" borderId="15" applyAlignment="1" pivotButton="0" quotePrefix="0" xfId="0">
      <alignment horizontal="center" vertical="center"/>
    </xf>
    <xf numFmtId="0" fontId="0" fillId="4" borderId="16" applyAlignment="1" pivotButton="0" quotePrefix="0" xfId="0">
      <alignment horizontal="center" vertical="center" wrapText="1"/>
    </xf>
    <xf numFmtId="0" fontId="0" fillId="0" borderId="16" applyAlignment="1" pivotButton="0" quotePrefix="0" xfId="0">
      <alignment horizontal="center" vertical="center"/>
    </xf>
    <xf numFmtId="0" fontId="0" fillId="9" borderId="17" applyAlignment="1" pivotButton="0" quotePrefix="0" xfId="0">
      <alignment horizontal="center" vertical="center" wrapText="1"/>
    </xf>
    <xf numFmtId="0" fontId="0" fillId="9" borderId="0" applyAlignment="1" pivotButton="0" quotePrefix="0" xfId="0">
      <alignment horizontal="center" vertical="center" wrapText="1"/>
    </xf>
    <xf numFmtId="49" fontId="0" fillId="9" borderId="16" applyAlignment="1" pivotButton="0" quotePrefix="0" xfId="0">
      <alignment horizontal="center" vertical="center"/>
    </xf>
    <xf numFmtId="0" fontId="0" fillId="9" borderId="18" applyAlignment="1" pivotButton="0" quotePrefix="0" xfId="0">
      <alignment horizontal="center" vertical="center" wrapText="1"/>
    </xf>
    <xf numFmtId="0" fontId="0" fillId="9" borderId="14" applyAlignment="1" pivotButton="0" quotePrefix="0" xfId="0">
      <alignment horizontal="center" vertical="center"/>
    </xf>
    <xf numFmtId="0" fontId="0" fillId="9" borderId="19" applyAlignment="1" pivotButton="0" quotePrefix="0" xfId="0">
      <alignment horizontal="center" vertical="center"/>
    </xf>
    <xf numFmtId="0" fontId="0" fillId="9" borderId="16" applyAlignment="1" pivotButton="0" quotePrefix="0" xfId="0">
      <alignment horizontal="center" vertical="center"/>
    </xf>
    <xf numFmtId="0" fontId="4" fillId="7" borderId="20" applyAlignment="1" pivotButton="0" quotePrefix="0" xfId="0">
      <alignment horizontal="center" vertical="center"/>
    </xf>
    <xf numFmtId="0" fontId="4" fillId="7" borderId="17" applyAlignment="1" pivotButton="0" quotePrefix="0" xfId="0">
      <alignment horizontal="center" vertical="center"/>
    </xf>
    <xf numFmtId="0" fontId="0" fillId="9" borderId="16" applyAlignment="1" pivotButton="0" quotePrefix="0" xfId="0">
      <alignment horizontal="center" vertical="center"/>
    </xf>
    <xf numFmtId="0" fontId="4" fillId="7" borderId="21" applyAlignment="1" pivotButton="0" quotePrefix="0" xfId="0">
      <alignment horizontal="center" vertical="center"/>
    </xf>
    <xf numFmtId="0" fontId="4" fillId="7" borderId="22" applyAlignment="1" pivotButton="0" quotePrefix="0" xfId="0">
      <alignment horizontal="center" vertical="center"/>
    </xf>
    <xf numFmtId="49" fontId="0" fillId="0" borderId="23" applyAlignment="1" pivotButton="0" quotePrefix="0" xfId="0">
      <alignment horizontal="center" vertical="center"/>
    </xf>
    <xf numFmtId="49" fontId="0" fillId="0" borderId="24" applyAlignment="1" pivotButton="0" quotePrefix="0" xfId="0">
      <alignment horizontal="center" vertical="center"/>
    </xf>
    <xf numFmtId="49" fontId="0" fillId="0" borderId="25" applyAlignment="1" pivotButton="0" quotePrefix="0" xfId="0">
      <alignment horizontal="center" vertical="center"/>
    </xf>
    <xf numFmtId="0" fontId="4" fillId="7" borderId="23" applyAlignment="1" pivotButton="0" quotePrefix="0" xfId="0">
      <alignment horizontal="center" vertical="center"/>
    </xf>
    <xf numFmtId="0" fontId="4" fillId="7" borderId="24" applyAlignment="1" pivotButton="0" quotePrefix="0" xfId="0">
      <alignment horizontal="center" vertical="center"/>
    </xf>
    <xf numFmtId="49" fontId="0" fillId="9" borderId="5" applyAlignment="1" pivotButton="0" quotePrefix="0" xfId="0">
      <alignment horizontal="center" vertical="center"/>
    </xf>
    <xf numFmtId="0" fontId="0" fillId="9" borderId="14" applyAlignment="1" pivotButton="0" quotePrefix="0" xfId="0">
      <alignment horizontal="center" vertical="center" wrapText="1"/>
    </xf>
    <xf numFmtId="0" fontId="0" fillId="9" borderId="19" applyAlignment="1" pivotButton="0" quotePrefix="0" xfId="0">
      <alignment horizontal="center" vertical="center" wrapText="1"/>
    </xf>
    <xf numFmtId="49" fontId="0" fillId="9" borderId="7" applyAlignment="1" pivotButton="0" quotePrefix="0" xfId="0">
      <alignment horizontal="center" vertical="center"/>
    </xf>
    <xf numFmtId="0" fontId="4" fillId="7" borderId="10" applyAlignment="1" pivotButton="0" quotePrefix="0" xfId="0">
      <alignment horizontal="center"/>
    </xf>
    <xf numFmtId="0" fontId="0" fillId="8" borderId="19" applyAlignment="1" pivotButton="0" quotePrefix="0" xfId="0">
      <alignment horizontal="center" vertical="center"/>
    </xf>
    <xf numFmtId="0" fontId="0" fillId="0" borderId="26" pivotButton="0" quotePrefix="0" xfId="0"/>
    <xf numFmtId="0" fontId="0" fillId="0" borderId="26" applyAlignment="1" pivotButton="0" quotePrefix="0" xfId="0">
      <alignment horizontal="left"/>
    </xf>
    <xf numFmtId="0" fontId="0" fillId="0" borderId="13" applyAlignment="1" pivotButton="0" quotePrefix="0" xfId="0">
      <alignment horizontal="left"/>
    </xf>
    <xf numFmtId="0" fontId="0" fillId="10" borderId="16" applyAlignment="1" pivotButton="0" quotePrefix="0" xfId="0">
      <alignment horizontal="center" vertical="center"/>
    </xf>
    <xf numFmtId="0" fontId="7" fillId="10" borderId="16" applyAlignment="1" pivotButton="0" quotePrefix="0" xfId="0">
      <alignment horizontal="center" vertical="center"/>
    </xf>
    <xf numFmtId="0" fontId="0" fillId="10" borderId="5" applyAlignment="1" pivotButton="0" quotePrefix="0" xfId="0">
      <alignment horizontal="center" vertical="center"/>
    </xf>
    <xf numFmtId="0" fontId="0" fillId="0" borderId="5" applyAlignment="1" pivotButton="0" quotePrefix="0" xfId="0">
      <alignment horizontal="center" vertical="center" wrapText="1"/>
    </xf>
    <xf numFmtId="0" fontId="0" fillId="8" borderId="14" applyAlignment="1" pivotButton="0" quotePrefix="0" xfId="0">
      <alignment horizontal="center" vertical="center"/>
    </xf>
    <xf numFmtId="0" fontId="0" fillId="8" borderId="15" applyAlignment="1" pivotButton="0" quotePrefix="0" xfId="0">
      <alignment horizontal="center" vertical="center"/>
    </xf>
    <xf numFmtId="0" fontId="0" fillId="10" borderId="7" applyAlignment="1" pivotButton="0" quotePrefix="0" xfId="0">
      <alignment horizontal="center" vertical="center"/>
    </xf>
    <xf numFmtId="0" fontId="0" fillId="0" borderId="7" applyAlignment="1" pivotButton="0" quotePrefix="0" xfId="0">
      <alignment horizontal="center" vertical="center" wrapText="1"/>
    </xf>
    <xf numFmtId="0" fontId="0" fillId="4" borderId="16" applyAlignment="1" pivotButton="0" quotePrefix="0" xfId="0">
      <alignment horizontal="center" vertical="center" wrapText="1"/>
    </xf>
    <xf numFmtId="0" fontId="0" fillId="10" borderId="16" applyAlignment="1" pivotButton="0" quotePrefix="0" xfId="0">
      <alignment horizontal="center" vertical="center"/>
    </xf>
    <xf numFmtId="0" fontId="0" fillId="0" borderId="16" applyAlignment="1" pivotButton="0" quotePrefix="0" xfId="0">
      <alignment horizontal="center" vertical="center"/>
    </xf>
    <xf numFmtId="0" fontId="0" fillId="11" borderId="16" applyAlignment="1" pivotButton="0" quotePrefix="0" xfId="0">
      <alignment horizontal="center" vertical="center" wrapText="1"/>
    </xf>
    <xf numFmtId="49" fontId="0" fillId="11" borderId="16" applyAlignment="1" pivotButton="0" quotePrefix="0" xfId="0">
      <alignment horizontal="center" vertical="center"/>
    </xf>
    <xf numFmtId="49" fontId="0" fillId="11" borderId="16" applyAlignment="1" pivotButton="0" quotePrefix="0" xfId="0">
      <alignment horizontal="center" vertical="center"/>
    </xf>
    <xf numFmtId="0" fontId="0" fillId="11" borderId="14" applyAlignment="1" pivotButton="0" quotePrefix="0" xfId="0">
      <alignment horizontal="center" vertical="center"/>
    </xf>
    <xf numFmtId="0" fontId="0" fillId="11" borderId="19" applyAlignment="1" pivotButton="0" quotePrefix="0" xfId="0">
      <alignment horizontal="center" vertical="center"/>
    </xf>
    <xf numFmtId="0" fontId="0" fillId="11" borderId="16" applyAlignment="1" pivotButton="0" quotePrefix="0" xfId="0">
      <alignment horizontal="center" vertical="center"/>
    </xf>
    <xf numFmtId="0" fontId="0" fillId="8" borderId="16" applyAlignment="1" pivotButton="0" quotePrefix="0" xfId="0">
      <alignment horizontal="center"/>
    </xf>
    <xf numFmtId="0" fontId="0" fillId="8" borderId="16" applyAlignment="1" pivotButton="0" quotePrefix="0" xfId="0">
      <alignment horizontal="center"/>
    </xf>
    <xf numFmtId="0" fontId="0" fillId="11" borderId="16" applyAlignment="1" pivotButton="0" quotePrefix="0" xfId="0">
      <alignment horizontal="center" vertical="center"/>
    </xf>
    <xf numFmtId="0" fontId="0" fillId="10" borderId="16" applyAlignment="1" pivotButton="0" quotePrefix="0" xfId="0">
      <alignment horizontal="center" vertical="center" wrapText="1"/>
    </xf>
    <xf numFmtId="49" fontId="0" fillId="0" borderId="16" applyAlignment="1" pivotButton="0" quotePrefix="0" xfId="0">
      <alignment horizontal="center" vertical="center"/>
    </xf>
    <xf numFmtId="49" fontId="0" fillId="0" borderId="16" applyAlignment="1" pivotButton="0" quotePrefix="0" xfId="0">
      <alignment horizontal="center" vertical="center"/>
    </xf>
    <xf numFmtId="0" fontId="7" fillId="10" borderId="18" applyAlignment="1" pivotButton="0" quotePrefix="0" xfId="0">
      <alignment horizontal="center"/>
    </xf>
    <xf numFmtId="0" fontId="0" fillId="0" borderId="27" applyAlignment="1" pivotButton="0" quotePrefix="0" xfId="0">
      <alignment horizontal="left" vertical="top" wrapText="1"/>
    </xf>
    <xf numFmtId="0" fontId="0" fillId="0" borderId="28" applyAlignment="1" pivotButton="0" quotePrefix="0" xfId="0">
      <alignment horizontal="left" vertical="top" wrapText="1"/>
    </xf>
    <xf numFmtId="0" fontId="0" fillId="0" borderId="29" applyAlignment="1" pivotButton="0" quotePrefix="0" xfId="0">
      <alignment horizontal="left" vertical="top" wrapText="1"/>
    </xf>
    <xf numFmtId="0" fontId="0" fillId="0" borderId="30" applyAlignment="1" pivotButton="0" quotePrefix="0" xfId="0">
      <alignment horizontal="left" vertical="top" wrapText="1"/>
    </xf>
    <xf numFmtId="0" fontId="0" fillId="0" borderId="18" applyAlignment="1" pivotButton="0" quotePrefix="0" xfId="0">
      <alignment horizontal="left" vertical="top" wrapText="1"/>
    </xf>
    <xf numFmtId="0" fontId="0" fillId="11" borderId="19" applyAlignment="1" pivotButton="0" quotePrefix="0" xfId="0">
      <alignment horizontal="center" vertical="center"/>
    </xf>
    <xf numFmtId="0" fontId="0" fillId="11" borderId="14" applyAlignment="1" pivotButton="0" quotePrefix="0" xfId="0">
      <alignment horizontal="center" vertical="center" wrapText="1"/>
    </xf>
    <xf numFmtId="0" fontId="0" fillId="11" borderId="19" applyAlignment="1" pivotButton="0" quotePrefix="0" xfId="0">
      <alignment horizontal="center" vertical="center" wrapText="1"/>
    </xf>
    <xf numFmtId="0" fontId="7" fillId="10" borderId="31" applyAlignment="1" pivotButton="0" quotePrefix="0" xfId="0">
      <alignment horizontal="center"/>
    </xf>
    <xf numFmtId="0" fontId="7" fillId="10" borderId="14" applyAlignment="1" pivotButton="0" quotePrefix="0" xfId="0">
      <alignment horizontal="center"/>
    </xf>
    <xf numFmtId="0" fontId="7" fillId="10" borderId="15" applyAlignment="1" pivotButton="0" quotePrefix="0" xfId="0">
      <alignment horizontal="center"/>
    </xf>
    <xf numFmtId="0" fontId="0" fillId="0" borderId="32" applyAlignment="1" pivotButton="0" quotePrefix="0" xfId="0">
      <alignment horizontal="left" vertical="top" wrapText="1"/>
    </xf>
    <xf numFmtId="0" fontId="0" fillId="0" borderId="4" applyAlignment="1" pivotButton="0" quotePrefix="0" xfId="0">
      <alignment horizontal="left" vertical="top" wrapText="1"/>
    </xf>
    <xf numFmtId="0" fontId="0" fillId="0" borderId="31" applyAlignment="1" pivotButton="0" quotePrefix="0" xfId="0">
      <alignment horizontal="left" vertical="top" wrapText="1"/>
    </xf>
    <xf numFmtId="0" fontId="0" fillId="0" borderId="9" applyAlignment="1" pivotButton="0" quotePrefix="0" xfId="0">
      <alignment horizontal="left"/>
    </xf>
    <xf numFmtId="0" fontId="0" fillId="8" borderId="19" applyAlignment="1" pivotButton="0" quotePrefix="0" xfId="0">
      <alignment horizontal="center" vertical="center"/>
    </xf>
    <xf numFmtId="49" fontId="0" fillId="11" borderId="5" applyAlignment="1" pivotButton="0" quotePrefix="0" xfId="0">
      <alignment horizontal="center" vertical="center"/>
    </xf>
    <xf numFmtId="49" fontId="0" fillId="11" borderId="7" applyAlignment="1" pivotButton="0" quotePrefix="0" xfId="0">
      <alignment horizontal="center" vertical="center"/>
    </xf>
    <xf numFmtId="0" fontId="7" fillId="10" borderId="19" applyAlignment="1" pivotButton="0" quotePrefix="0" xfId="0">
      <alignment horizontal="center"/>
    </xf>
    <xf numFmtId="0" fontId="0" fillId="4" borderId="1" pivotButton="0" quotePrefix="0" xfId="0"/>
    <xf numFmtId="0" fontId="0" fillId="4" borderId="1" applyAlignment="1" pivotButton="0" quotePrefix="0" xfId="0">
      <alignment horizontal="center" vertical="center" wrapText="1"/>
    </xf>
    <xf numFmtId="0" fontId="0" fillId="0" borderId="33" pivotButton="0" quotePrefix="0" xfId="0"/>
    <xf numFmtId="0" fontId="0" fillId="4" borderId="34" applyAlignment="1" pivotButton="0" quotePrefix="0" xfId="0">
      <alignment horizontal="center" vertical="center" wrapText="1"/>
    </xf>
    <xf numFmtId="0" fontId="2" fillId="4" borderId="1" applyAlignment="1" pivotButton="0" quotePrefix="0" xfId="0">
      <alignment horizontal="center" vertical="center" wrapText="1"/>
    </xf>
    <xf numFmtId="0" fontId="0" fillId="12" borderId="35" applyAlignment="1" pivotButton="0" quotePrefix="0" xfId="0">
      <alignment horizontal="center" vertical="center" wrapText="1"/>
    </xf>
    <xf numFmtId="0" fontId="0" fillId="12" borderId="17" applyAlignment="1" pivotButton="0" quotePrefix="0" xfId="0">
      <alignment horizontal="center" vertical="center" wrapText="1"/>
    </xf>
    <xf numFmtId="0" fontId="0" fillId="12" borderId="36" applyAlignment="1" pivotButton="0" quotePrefix="0" xfId="0">
      <alignment horizontal="center" vertical="center" wrapText="1"/>
    </xf>
    <xf numFmtId="0" fontId="0" fillId="0" borderId="37" pivotButton="0" quotePrefix="0" xfId="0"/>
    <xf numFmtId="0" fontId="0" fillId="13" borderId="38" applyAlignment="1" pivotButton="0" quotePrefix="0" xfId="0">
      <alignment horizontal="center" vertical="center" wrapText="1"/>
    </xf>
    <xf numFmtId="0" fontId="0" fillId="10" borderId="39" applyAlignment="1" pivotButton="0" quotePrefix="0" xfId="0">
      <alignment horizontal="center" vertical="center" wrapText="1"/>
    </xf>
    <xf numFmtId="0" fontId="0" fillId="10" borderId="0" applyAlignment="1" pivotButton="0" quotePrefix="0" xfId="0">
      <alignment horizontal="center" vertical="center" wrapText="1"/>
    </xf>
    <xf numFmtId="0" fontId="0" fillId="10" borderId="4" applyAlignment="1" pivotButton="0" quotePrefix="0" xfId="0">
      <alignment horizontal="center" vertical="center" wrapText="1"/>
    </xf>
    <xf numFmtId="0" fontId="8" fillId="10" borderId="4" applyAlignment="1" pivotButton="0" quotePrefix="0" xfId="0">
      <alignment horizontal="center" vertical="center" wrapText="1"/>
    </xf>
    <xf numFmtId="0" fontId="0" fillId="10" borderId="40" applyAlignment="1" pivotButton="0" quotePrefix="0" xfId="0">
      <alignment horizontal="center" vertical="center" wrapText="1"/>
    </xf>
    <xf numFmtId="0" fontId="0" fillId="10" borderId="41" applyAlignment="1" pivotButton="0" quotePrefix="0" xfId="0">
      <alignment horizontal="center" vertical="center" wrapText="1"/>
    </xf>
    <xf numFmtId="0" fontId="0" fillId="10" borderId="22" applyAlignment="1" pivotButton="0" quotePrefix="0" xfId="0">
      <alignment horizontal="center" vertical="center" wrapText="1"/>
    </xf>
    <xf numFmtId="0" fontId="0" fillId="10" borderId="42" applyAlignment="1" pivotButton="0" quotePrefix="0" xfId="0">
      <alignment horizontal="center" vertical="center" wrapText="1"/>
    </xf>
    <xf numFmtId="0" fontId="9" fillId="10" borderId="42" applyAlignment="1" pivotButton="0" quotePrefix="0" xfId="0">
      <alignment horizontal="center" vertical="center" wrapText="1"/>
    </xf>
    <xf numFmtId="0" fontId="0" fillId="10" borderId="11" applyAlignment="1" pivotButton="0" quotePrefix="0" xfId="0">
      <alignment horizontal="center" vertical="center" wrapText="1"/>
    </xf>
    <xf numFmtId="0" fontId="0" fillId="4" borderId="43" applyAlignment="1" pivotButton="0" quotePrefix="0" xfId="0">
      <alignment horizontal="left" vertical="center"/>
    </xf>
    <xf numFmtId="0" fontId="0" fillId="4" borderId="44" applyAlignment="1" pivotButton="0" quotePrefix="0" xfId="0">
      <alignment horizontal="left" vertical="center" wrapText="1"/>
    </xf>
    <xf numFmtId="0" fontId="0" fillId="4" borderId="44" applyAlignment="1" pivotButton="0" quotePrefix="0" xfId="0">
      <alignment vertical="center" wrapText="1"/>
    </xf>
    <xf numFmtId="0" fontId="0" fillId="4" borderId="45" applyAlignment="1" pivotButton="0" quotePrefix="0" xfId="0">
      <alignment horizontal="left" vertical="center" wrapText="1"/>
    </xf>
    <xf numFmtId="0" fontId="0" fillId="0" borderId="46" pivotButton="0" quotePrefix="0" xfId="0"/>
    <xf numFmtId="0" fontId="0" fillId="4" borderId="47" applyAlignment="1" pivotButton="0" quotePrefix="0" xfId="0">
      <alignment horizontal="center" vertical="center" wrapText="1"/>
    </xf>
    <xf numFmtId="0" fontId="0" fillId="4" borderId="44" applyAlignment="1" pivotButton="0" quotePrefix="0" xfId="0">
      <alignment horizontal="center" vertical="center" wrapText="1"/>
    </xf>
    <xf numFmtId="0" fontId="0" fillId="4" borderId="48" applyAlignment="1" pivotButton="0" quotePrefix="0" xfId="0">
      <alignment horizontal="left" vertical="center"/>
    </xf>
    <xf numFmtId="0" fontId="0" fillId="4" borderId="1" applyAlignment="1" pivotButton="0" quotePrefix="0" xfId="0">
      <alignment vertical="center" wrapText="1"/>
    </xf>
    <xf numFmtId="0" fontId="0" fillId="4" borderId="49" applyAlignment="1" pivotButton="0" quotePrefix="0" xfId="0">
      <alignment horizontal="left" vertical="center" wrapText="1"/>
    </xf>
    <xf numFmtId="0" fontId="0" fillId="4" borderId="50" applyAlignment="1" pivotButton="0" quotePrefix="0" xfId="0">
      <alignment horizontal="left" vertical="center" wrapText="1"/>
    </xf>
    <xf numFmtId="0" fontId="0" fillId="4" borderId="51" applyAlignment="1" pivotButton="0" quotePrefix="0" xfId="0">
      <alignment horizontal="left" vertical="center" wrapText="1"/>
    </xf>
    <xf numFmtId="0" fontId="0" fillId="4" borderId="2" applyAlignment="1" pivotButton="0" quotePrefix="0" xfId="0">
      <alignment horizontal="left" vertical="center" wrapText="1"/>
    </xf>
    <xf numFmtId="0" fontId="3" fillId="4" borderId="1" applyAlignment="1" pivotButton="0" quotePrefix="0" xfId="0">
      <alignment horizontal="left" vertical="center" wrapText="1"/>
    </xf>
    <xf numFmtId="0" fontId="0" fillId="4" borderId="1" applyAlignment="1" pivotButton="0" quotePrefix="0" xfId="0">
      <alignment horizontal="left" vertical="center" wrapText="1"/>
    </xf>
    <xf numFmtId="0" fontId="0" fillId="4" borderId="49" applyAlignment="1" pivotButton="0" quotePrefix="0" xfId="0">
      <alignment horizontal="left" vertical="center" wrapText="1"/>
    </xf>
    <xf numFmtId="0" fontId="0" fillId="4" borderId="37" pivotButton="0" quotePrefix="0" xfId="0"/>
    <xf numFmtId="0" fontId="0" fillId="4" borderId="52" applyAlignment="1" pivotButton="0" quotePrefix="0" xfId="0">
      <alignment horizontal="left" vertical="center" wrapText="1"/>
    </xf>
    <xf numFmtId="0" fontId="3" fillId="4" borderId="1" applyAlignment="1" pivotButton="0" quotePrefix="0" xfId="0">
      <alignment vertical="center" wrapText="1"/>
    </xf>
    <xf numFmtId="0" fontId="0" fillId="4" borderId="53" applyAlignment="1" pivotButton="0" quotePrefix="0" xfId="0">
      <alignment horizontal="left" vertical="center"/>
    </xf>
    <xf numFmtId="0" fontId="0" fillId="4" borderId="54" applyAlignment="1" pivotButton="0" quotePrefix="0" xfId="0">
      <alignment horizontal="left" vertical="center" wrapText="1"/>
    </xf>
    <xf numFmtId="0" fontId="0" fillId="4" borderId="55" applyAlignment="1" pivotButton="0" quotePrefix="0" xfId="0">
      <alignment horizontal="left" vertical="center" wrapText="1"/>
    </xf>
    <xf numFmtId="0" fontId="0" fillId="4" borderId="56" applyAlignment="1" pivotButton="0" quotePrefix="0" xfId="0">
      <alignment horizontal="left" vertical="center" wrapText="1"/>
    </xf>
    <xf numFmtId="0" fontId="0" fillId="4" borderId="57" applyAlignment="1" pivotButton="0" quotePrefix="0" xfId="0">
      <alignment horizontal="left" vertical="center" wrapText="1"/>
    </xf>
    <xf numFmtId="0" fontId="0" fillId="4" borderId="58" applyAlignment="1" pivotButton="0" quotePrefix="0" xfId="0">
      <alignment horizontal="left" vertical="center" wrapText="1"/>
    </xf>
    <xf numFmtId="0" fontId="0" fillId="4" borderId="59" applyAlignment="1" pivotButton="0" quotePrefix="0" xfId="0">
      <alignment horizontal="left" vertical="center" wrapText="1"/>
    </xf>
    <xf numFmtId="0" fontId="0" fillId="4" borderId="48" applyAlignment="1" pivotButton="0" quotePrefix="0" xfId="0">
      <alignment horizontal="left" vertical="center" wrapText="1"/>
    </xf>
    <xf numFmtId="0" fontId="0" fillId="4" borderId="53" applyAlignment="1" pivotButton="0" quotePrefix="0" xfId="0">
      <alignment horizontal="left" vertical="center" wrapText="1"/>
    </xf>
    <xf numFmtId="0" fontId="0" fillId="4" borderId="55" applyAlignment="1" pivotButton="0" quotePrefix="0" xfId="0">
      <alignment horizontal="left" vertical="center" wrapText="1"/>
    </xf>
    <xf numFmtId="0" fontId="0" fillId="4" borderId="57" applyAlignment="1" pivotButton="0" quotePrefix="0" xfId="0">
      <alignment horizontal="center" vertical="center" wrapText="1"/>
    </xf>
    <xf numFmtId="0" fontId="0" fillId="4" borderId="48" applyAlignment="1" pivotButton="0" quotePrefix="0" xfId="0">
      <alignment horizontal="center" vertical="center" wrapText="1"/>
    </xf>
    <xf numFmtId="0"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0" fillId="4" borderId="60" applyAlignment="1" pivotButton="0" quotePrefix="0" xfId="0">
      <alignment horizontal="center" vertical="center" wrapText="1"/>
    </xf>
    <xf numFmtId="0" fontId="0" fillId="13" borderId="34" applyAlignment="1" pivotButton="0" quotePrefix="0" xfId="0">
      <alignment horizontal="center" vertical="center" wrapText="1"/>
    </xf>
    <xf numFmtId="0" fontId="0" fillId="4" borderId="61" applyAlignment="1" pivotButton="0" quotePrefix="0" xfId="0">
      <alignment horizontal="center" vertical="center" wrapText="1"/>
    </xf>
    <xf numFmtId="0" fontId="0" fillId="4" borderId="2" applyAlignment="1" pivotButton="0" quotePrefix="0" xfId="0">
      <alignment horizontal="center" vertical="center" wrapText="1"/>
    </xf>
    <xf numFmtId="0" fontId="0" fillId="4" borderId="1" applyAlignment="1" pivotButton="0" quotePrefix="0" xfId="0">
      <alignment vertical="center" wrapText="1"/>
    </xf>
    <xf numFmtId="3" fontId="0" fillId="4" borderId="49" applyAlignment="1" pivotButton="0" quotePrefix="0" xfId="0">
      <alignment horizontal="left" vertical="center" wrapText="1"/>
    </xf>
    <xf numFmtId="0" fontId="0" fillId="4" borderId="58" applyAlignment="1" pivotButton="0" quotePrefix="0" xfId="0">
      <alignment horizontal="left" vertical="center" wrapText="1"/>
    </xf>
    <xf numFmtId="0" fontId="0" fillId="4" borderId="59" applyAlignment="1" pivotButton="0" quotePrefix="0" xfId="0">
      <alignment horizontal="left" vertical="center" wrapText="1"/>
    </xf>
    <xf numFmtId="0" fontId="0" fillId="4" borderId="43" applyAlignment="1" pivotButton="0" quotePrefix="0" xfId="0">
      <alignment horizontal="center" vertical="center" wrapText="1"/>
    </xf>
    <xf numFmtId="0" fontId="0" fillId="4" borderId="62" applyAlignment="1" pivotButton="0" quotePrefix="0" xfId="0">
      <alignment horizontal="left" vertical="center" wrapText="1"/>
    </xf>
    <xf numFmtId="0" fontId="0" fillId="4" borderId="62" applyAlignment="1" pivotButton="0" quotePrefix="0" xfId="0">
      <alignment horizontal="left" vertical="center" wrapText="1"/>
    </xf>
    <xf numFmtId="0" fontId="0" fillId="0" borderId="37" pivotButton="0" quotePrefix="0" xfId="0"/>
    <xf numFmtId="0" fontId="0" fillId="4" borderId="34" applyAlignment="1" pivotButton="0" quotePrefix="0" xfId="0">
      <alignment horizontal="center" vertical="center" wrapText="1"/>
    </xf>
    <xf numFmtId="0" fontId="0" fillId="4" borderId="50" applyAlignment="1" pivotButton="0" quotePrefix="0" xfId="0">
      <alignment horizontal="left" vertical="center" wrapText="1"/>
    </xf>
    <xf numFmtId="0" fontId="0" fillId="4" borderId="51" applyAlignment="1" pivotButton="0" quotePrefix="0" xfId="0">
      <alignment horizontal="left" vertical="center" wrapText="1"/>
    </xf>
    <xf numFmtId="0" fontId="0" fillId="4" borderId="45" applyAlignment="1" pivotButton="0" quotePrefix="0" xfId="0">
      <alignment horizontal="left" vertical="center" wrapText="1"/>
    </xf>
    <xf numFmtId="0" fontId="0" fillId="4" borderId="53" applyAlignment="1" pivotButton="0" quotePrefix="0" xfId="0">
      <alignment horizontal="center" vertical="center" wrapText="1"/>
    </xf>
    <xf numFmtId="0" fontId="10" fillId="4" borderId="34" applyAlignment="1" pivotButton="0" quotePrefix="0" xfId="0">
      <alignment horizontal="center" vertical="center" wrapText="1"/>
    </xf>
    <xf numFmtId="0" fontId="10" fillId="4" borderId="34" applyAlignment="1" pivotButton="0" quotePrefix="0" xfId="0">
      <alignment horizontal="center" vertical="center"/>
    </xf>
    <xf numFmtId="0" fontId="10" fillId="4" borderId="1" applyAlignment="1" pivotButton="0" quotePrefix="0" xfId="0">
      <alignment horizontal="center" vertical="center"/>
    </xf>
    <xf numFmtId="0" fontId="0" fillId="4" borderId="1" applyAlignment="1" pivotButton="0" quotePrefix="0" xfId="0">
      <alignment horizontal="center" vertical="center"/>
    </xf>
    <xf numFmtId="0" fontId="0" fillId="4" borderId="63" applyAlignment="1" pivotButton="0" quotePrefix="0" xfId="0">
      <alignment horizontal="center" vertical="center" wrapText="1"/>
    </xf>
    <xf numFmtId="0" fontId="0" fillId="4" borderId="39" applyAlignment="1" pivotButton="0" quotePrefix="0" xfId="0">
      <alignment horizontal="center" vertical="center"/>
    </xf>
    <xf numFmtId="0" fontId="0" fillId="4" borderId="41" applyAlignment="1" pivotButton="0" quotePrefix="0" xfId="0">
      <alignment horizontal="center" vertical="center"/>
    </xf>
    <xf numFmtId="0" fontId="0" fillId="4" borderId="44" pivotButton="0" quotePrefix="0" xfId="0"/>
    <xf numFmtId="0" fontId="0" fillId="0" borderId="0" applyAlignment="1" pivotButton="0" quotePrefix="0" xfId="0">
      <alignment horizontal="center"/>
    </xf>
    <xf numFmtId="0" fontId="0" fillId="0" borderId="0" applyAlignment="1" pivotButton="0" quotePrefix="0" xfId="0">
      <alignment wrapText="1"/>
    </xf>
    <xf numFmtId="0" fontId="0" fillId="12" borderId="72" applyAlignment="1" pivotButton="0" quotePrefix="0" xfId="0">
      <alignment horizontal="center" vertical="center" wrapText="1"/>
    </xf>
    <xf numFmtId="0" fontId="0" fillId="0" borderId="17" pivotButton="0" quotePrefix="0" xfId="0"/>
    <xf numFmtId="0" fontId="0" fillId="0" borderId="36" pivotButton="0" quotePrefix="0" xfId="0"/>
    <xf numFmtId="0" fontId="0" fillId="0" borderId="38" pivotButton="0" quotePrefix="0" xfId="0"/>
    <xf numFmtId="0" fontId="0" fillId="0" borderId="34" pivotButton="0" quotePrefix="0" xfId="0"/>
    <xf numFmtId="0" fontId="0" fillId="10" borderId="77" applyAlignment="1" pivotButton="0" quotePrefix="0" xfId="0">
      <alignment horizontal="center" vertical="center" wrapText="1"/>
    </xf>
    <xf numFmtId="0" fontId="0" fillId="0" borderId="4" pivotButton="0" quotePrefix="0" xfId="0"/>
    <xf numFmtId="0" fontId="8" fillId="10" borderId="42" applyAlignment="1" pivotButton="0" quotePrefix="0" xfId="0">
      <alignment horizontal="center" vertical="center" wrapText="1"/>
    </xf>
    <xf numFmtId="0" fontId="0" fillId="0" borderId="15" pivotButton="0" quotePrefix="0" xfId="0"/>
    <xf numFmtId="0" fontId="0" fillId="0" borderId="19" pivotButton="0" quotePrefix="0" xfId="0"/>
    <xf numFmtId="0" fontId="0" fillId="0" borderId="41" pivotButton="0" quotePrefix="0" xfId="0"/>
    <xf numFmtId="0" fontId="0" fillId="0" borderId="22" pivotButton="0" quotePrefix="0" xfId="0"/>
    <xf numFmtId="0" fontId="0" fillId="0" borderId="42" pivotButton="0" quotePrefix="0" xfId="0"/>
    <xf numFmtId="0" fontId="0" fillId="0" borderId="11" pivotButton="0" quotePrefix="0" xfId="0"/>
    <xf numFmtId="0" fontId="0" fillId="0" borderId="7" pivotButton="0" quotePrefix="0" xfId="0"/>
    <xf numFmtId="0" fontId="0" fillId="0" borderId="75" pivotButton="0" quotePrefix="0" xfId="0"/>
    <xf numFmtId="0" fontId="0" fillId="0" borderId="52" pivotButton="0" quotePrefix="0" xfId="0"/>
    <xf numFmtId="0" fontId="0" fillId="0" borderId="51" pivotButton="0" quotePrefix="0" xfId="0"/>
    <xf numFmtId="0" fontId="0" fillId="0" borderId="44" pivotButton="0" quotePrefix="0" xfId="0"/>
    <xf numFmtId="0" fontId="0" fillId="0" borderId="45" pivotButton="0" quotePrefix="0" xfId="0"/>
    <xf numFmtId="0" fontId="0" fillId="0" borderId="43" pivotButton="0" quotePrefix="0" xfId="0"/>
    <xf numFmtId="0" fontId="0" fillId="0" borderId="54" pivotButton="0" quotePrefix="0" xfId="0"/>
    <xf numFmtId="0" fontId="0" fillId="0" borderId="12" applyAlignment="1" pivotButton="0" quotePrefix="0" xfId="0">
      <alignment horizontal="left"/>
    </xf>
    <xf numFmtId="0" fontId="0" fillId="0" borderId="13" pivotButton="0" quotePrefix="0" xfId="0"/>
    <xf numFmtId="0" fontId="0" fillId="0" borderId="9" pivotButton="0" quotePrefix="0" xfId="0"/>
    <xf numFmtId="0" fontId="0" fillId="0" borderId="16" applyAlignment="1" pivotButton="0" quotePrefix="0" xfId="0">
      <alignment horizontal="center" vertical="center" wrapText="1"/>
    </xf>
    <xf numFmtId="0" fontId="0" fillId="8" borderId="16" applyAlignment="1" pivotButton="0" quotePrefix="0" xfId="0">
      <alignment horizontal="center" vertical="center"/>
    </xf>
    <xf numFmtId="0" fontId="0" fillId="0" borderId="32" pivotButton="0" quotePrefix="0" xfId="0"/>
    <xf numFmtId="0" fontId="0" fillId="0" borderId="30" pivotButton="0" quotePrefix="0" xfId="0"/>
    <xf numFmtId="0" fontId="0" fillId="0" borderId="31" pivotButton="0" quotePrefix="0" xfId="0"/>
    <xf numFmtId="0" fontId="0" fillId="0" borderId="6" pivotButton="0" quotePrefix="0" xfId="0"/>
    <xf numFmtId="0" fontId="0" fillId="0" borderId="18" pivotButton="0" quotePrefix="0" xfId="0"/>
    <xf numFmtId="0" fontId="7" fillId="10" borderId="16" applyAlignment="1" pivotButton="0" quotePrefix="0" xfId="0">
      <alignment horizontal="center"/>
    </xf>
    <xf numFmtId="0" fontId="0" fillId="0" borderId="16" applyAlignment="1" pivotButton="0" quotePrefix="0" xfId="0">
      <alignment horizontal="left" vertical="top" wrapText="1"/>
    </xf>
    <xf numFmtId="0" fontId="0" fillId="0" borderId="28" pivotButton="0" quotePrefix="0" xfId="0"/>
    <xf numFmtId="0" fontId="0" fillId="0" borderId="29" pivotButton="0" quotePrefix="0" xfId="0"/>
    <xf numFmtId="0" fontId="0" fillId="0" borderId="10" pivotButton="0" quotePrefix="0" xfId="0"/>
    <xf numFmtId="0" fontId="0" fillId="9" borderId="24" applyAlignment="1" pivotButton="0" quotePrefix="0" xfId="0">
      <alignment horizontal="center" vertical="center" wrapText="1"/>
    </xf>
    <xf numFmtId="0" fontId="0" fillId="9" borderId="16" applyAlignment="1" pivotButton="0" quotePrefix="0" xfId="0">
      <alignment horizontal="center" vertical="center" wrapText="1"/>
    </xf>
    <xf numFmtId="0" fontId="4" fillId="7" borderId="81" applyAlignment="1" pivotButton="0" quotePrefix="0" xfId="0">
      <alignment horizontal="center" vertical="center"/>
    </xf>
    <xf numFmtId="0" fontId="0" fillId="0" borderId="21" pivotButton="0" quotePrefix="0" xfId="0"/>
    <xf numFmtId="49" fontId="0" fillId="0" borderId="79" applyAlignment="1" pivotButton="0" quotePrefix="0" xfId="0">
      <alignment horizontal="center" vertical="center"/>
    </xf>
    <xf numFmtId="0" fontId="0" fillId="0" borderId="24" pivotButton="0" quotePrefix="0" xfId="0"/>
    <xf numFmtId="0" fontId="0" fillId="0" borderId="25"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11</col>
      <colOff>553909</colOff>
      <row>27</row>
      <rowOff>104775</rowOff>
    </from>
    <to>
      <col>22</col>
      <colOff>94124</colOff>
      <row>53</row>
      <rowOff>84932</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593070" y="6410325"/>
          <a:ext cx="6655435" cy="4685030"/>
        </a:xfrm>
        <a:prstGeom xmlns:a="http://schemas.openxmlformats.org/drawingml/2006/main" prst="rect">
          <avLst/>
        </a:prstGeom>
        <a:ln xmlns:a="http://schemas.openxmlformats.org/drawingml/2006/main">
          <a:prstDash val="solid"/>
        </a:ln>
      </spPr>
    </pic>
    <clientData/>
  </twoCellAnchor>
  <twoCellAnchor editAs="oneCell">
    <from>
      <col>11</col>
      <colOff>553909</colOff>
      <row>27</row>
      <rowOff>104775</rowOff>
    </from>
    <to>
      <col>22</col>
      <colOff>94124</colOff>
      <row>53</row>
      <rowOff>84932</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0593070" y="6410325"/>
          <a:ext cx="6655435" cy="468503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1">
    <outlinePr summaryBelow="1" summaryRight="1"/>
    <pageSetUpPr/>
  </sheetPr>
  <dimension ref="A1:D6"/>
  <sheetViews>
    <sheetView workbookViewId="0">
      <selection activeCell="C72" sqref="C72"/>
    </sheetView>
  </sheetViews>
  <sheetFormatPr baseColWidth="8" defaultColWidth="9" defaultRowHeight="14.25" outlineLevelRow="5"/>
  <cols>
    <col width="19.375" customWidth="1" style="205" min="1" max="1"/>
    <col width="16.625" customWidth="1" style="17" min="2" max="2"/>
    <col width="42.75" customWidth="1" style="17" min="3" max="3"/>
    <col width="15.375" customWidth="1" style="17" min="4" max="4"/>
  </cols>
  <sheetData>
    <row r="1">
      <c r="A1" s="205" t="inlineStr">
        <is>
          <t>Version</t>
        </is>
      </c>
      <c r="B1" t="inlineStr">
        <is>
          <t>Author</t>
        </is>
      </c>
      <c r="C1" s="205" t="inlineStr">
        <is>
          <t>Descripton</t>
        </is>
      </c>
      <c r="D1" t="inlineStr">
        <is>
          <t>date</t>
        </is>
      </c>
    </row>
    <row r="2">
      <c r="A2" s="4" t="n">
        <v>0.1</v>
      </c>
      <c r="B2" s="20" t="inlineStr">
        <is>
          <t>/</t>
        </is>
      </c>
      <c r="C2" s="36" t="inlineStr">
        <is>
          <t>initial version</t>
        </is>
      </c>
      <c r="D2" s="20" t="inlineStr">
        <is>
          <t>2023.09.26</t>
        </is>
      </c>
    </row>
    <row r="3" ht="28.5" customHeight="1" s="17">
      <c r="A3" s="205" t="n">
        <v>0.2</v>
      </c>
      <c r="B3" t="inlineStr">
        <is>
          <t>/</t>
        </is>
      </c>
      <c r="C3" s="206" t="inlineStr">
        <is>
          <t>1. Provided more detailed instructions for command receipt
2. Added CRC verification instructions</t>
        </is>
      </c>
      <c r="D3" s="20" t="inlineStr">
        <is>
          <t>2023.09.27</t>
        </is>
      </c>
    </row>
    <row r="4" ht="42.75" customHeight="1" s="17">
      <c r="A4" s="205" t="n">
        <v>0.3</v>
      </c>
      <c r="B4" t="inlineStr">
        <is>
          <t>/</t>
        </is>
      </c>
      <c r="C4" s="206" t="inlineStr">
        <is>
          <t>1. Added 4 reserved bits for scene mode switching
2. Corrected several typos in shutter parameter settings
3. Corrected several typos in MIPI switching</t>
        </is>
      </c>
      <c r="D4" t="inlineStr">
        <is>
          <t>2023.10.10</t>
        </is>
      </c>
    </row>
    <row r="5" ht="85.5" customHeight="1" s="17">
      <c r="A5" s="205" t="n">
        <v>0.4</v>
      </c>
      <c r="B5" t="inlineStr">
        <is>
          <t>/</t>
        </is>
      </c>
      <c r="C5" s="206" t="inlineStr">
        <is>
          <t>1. Added edge enhancement mode in scene mode
2. Added edge enhancement command
3. Modified frame rate settings for BT656 progressive
4. Added description for frozen image
5. Added mini2 256 output setting command
6. Added API documentation for SDK package</t>
        </is>
      </c>
      <c r="D5" t="inlineStr">
        <is>
          <t>2023.11.22</t>
        </is>
      </c>
    </row>
    <row r="6" ht="65" customHeight="1" s="17">
      <c r="A6" s="205" t="n">
        <v>0.5</v>
      </c>
      <c r="B6" t="inlineStr">
        <is>
          <t>/</t>
        </is>
      </c>
      <c r="C6" s="206" t="inlineStr">
        <is>
          <t>1. Enriched I2C command instructions
2. Added external synchronization command
3. Added CRC verification value for I2C commands in serial port and I2C command list</t>
        </is>
      </c>
      <c r="D6" t="inlineStr">
        <is>
          <t>2024.01.11</t>
        </is>
      </c>
    </row>
  </sheetData>
  <pageMargins left="0.75" right="0.75" top="1" bottom="1" header="0.5" footer="0.5"/>
</worksheet>
</file>

<file path=xl/worksheets/sheet2.xml><?xml version="1.0" encoding="utf-8"?>
<worksheet xmlns="http://schemas.openxmlformats.org/spreadsheetml/2006/main">
  <sheetPr codeName="Sheet2">
    <outlinePr summaryBelow="1" summaryRight="1"/>
    <pageSetUpPr autoPageBreaks="0"/>
  </sheetPr>
  <dimension ref="A1:Z229"/>
  <sheetViews>
    <sheetView tabSelected="1" zoomScaleSheetLayoutView="85" workbookViewId="0">
      <pane xSplit="1" ySplit="3" topLeftCell="B66" activePane="bottomRight" state="frozen"/>
      <selection activeCell="A1" sqref="A1"/>
      <selection pane="topRight" activeCell="A1" sqref="A1"/>
      <selection pane="bottomLeft" activeCell="A1" sqref="A1"/>
      <selection pane="bottomRight" activeCell="C74" sqref="C74"/>
    </sheetView>
  </sheetViews>
  <sheetFormatPr baseColWidth="8" defaultColWidth="9" defaultRowHeight="14.25"/>
  <cols>
    <col width="17.25" customWidth="1" style="126" min="1" max="1"/>
    <col width="16.375" customWidth="1" style="178" min="2" max="2"/>
    <col width="21.625" customWidth="1" style="178" min="3" max="3"/>
    <col width="58.625" customWidth="1" style="178" min="4" max="4"/>
    <col width="66" customWidth="1" style="160" min="5" max="5"/>
    <col width="9" customWidth="1" style="128" min="6" max="6"/>
    <col width="15.125" customWidth="1" style="192" min="7" max="7"/>
    <col width="15.125" customWidth="1" style="178" min="8" max="8"/>
    <col width="8.5" customWidth="1" style="178" min="9" max="10"/>
    <col width="8.125" customWidth="1" style="130" min="11" max="11"/>
    <col width="8.125" customWidth="1" style="178" min="12" max="18"/>
    <col width="6.625" customWidth="1" style="178" min="19" max="20"/>
    <col width="5.375" customWidth="1" style="178" min="21" max="22"/>
    <col width="8.875" customWidth="1" style="178" min="23" max="24"/>
    <col width="59.375" customWidth="1" style="178" min="25" max="25"/>
    <col width="9" customWidth="1" style="178" min="26" max="16384"/>
  </cols>
  <sheetData>
    <row r="1">
      <c r="A1" s="207" t="inlineStr">
        <is>
          <t>Serial Port Commands</t>
        </is>
      </c>
      <c r="B1" s="208" t="n"/>
      <c r="C1" s="208" t="n"/>
      <c r="D1" s="208" t="n"/>
      <c r="E1" s="209" t="n"/>
      <c r="F1" s="191" t="n"/>
      <c r="G1" s="181" t="inlineStr">
        <is>
          <t>I2C Commands</t>
        </is>
      </c>
      <c r="H1" s="210" t="n"/>
      <c r="I1" s="210" t="n"/>
      <c r="J1" s="210" t="n"/>
      <c r="K1" s="210" t="n"/>
      <c r="L1" s="210" t="n"/>
      <c r="M1" s="210" t="n"/>
      <c r="N1" s="210" t="n"/>
      <c r="O1" s="210" t="n"/>
      <c r="P1" s="210" t="n"/>
      <c r="Q1" s="210" t="n"/>
      <c r="R1" s="210" t="n"/>
      <c r="S1" s="210" t="n"/>
      <c r="T1" s="210" t="n"/>
      <c r="U1" s="210" t="n"/>
      <c r="V1" s="210" t="n"/>
      <c r="W1" s="210" t="n"/>
      <c r="X1" s="210" t="n"/>
      <c r="Y1" s="211" t="n"/>
    </row>
    <row r="2">
      <c r="A2" s="212" t="inlineStr">
        <is>
          <t>Command</t>
        </is>
      </c>
      <c r="C2" s="213" t="n"/>
      <c r="D2" s="214" t="inlineStr">
        <is>
          <t>Serial Port Commands (hex format)</t>
        </is>
      </c>
      <c r="E2" s="145" t="inlineStr">
        <is>
          <t>Notes</t>
        </is>
      </c>
      <c r="G2" s="91" t="inlineStr">
        <is>
          <t>Command Header</t>
        </is>
      </c>
      <c r="H2" s="215" t="n"/>
      <c r="I2" s="216" t="n"/>
      <c r="J2" s="91" t="inlineStr">
        <is>
          <t>Reserved Bit</t>
        </is>
      </c>
      <c r="K2" s="91" t="inlineStr">
        <is>
          <t>Parameter 1
Prameters1</t>
        </is>
      </c>
      <c r="L2" s="215" t="n"/>
      <c r="M2" s="215" t="n"/>
      <c r="N2" s="216" t="n"/>
      <c r="O2" s="91" t="inlineStr">
        <is>
          <t>Parameter 2
Prameters2</t>
        </is>
      </c>
      <c r="P2" s="215" t="n"/>
      <c r="Q2" s="215" t="n"/>
      <c r="R2" s="216" t="n"/>
      <c r="S2" s="91" t="inlineStr">
        <is>
          <t>Parameter Length in Receipt
Length</t>
        </is>
      </c>
      <c r="T2" s="216" t="n"/>
      <c r="U2" s="91" t="inlineStr">
        <is>
          <t>Reserved, write fixed value
0x0000</t>
        </is>
      </c>
      <c r="V2" s="216" t="n"/>
      <c r="W2" s="91" t="inlineStr">
        <is>
          <t>Command Data Part
CRC Verification Result</t>
        </is>
      </c>
      <c r="X2" s="216" t="n"/>
      <c r="Y2" s="91" t="inlineStr">
        <is>
          <t>Command Data Part (combined)</t>
        </is>
      </c>
      <c r="Z2" s="192" t="n"/>
    </row>
    <row r="3" ht="15" customHeight="1" s="17">
      <c r="A3" s="217" t="n"/>
      <c r="B3" s="218" t="n"/>
      <c r="C3" s="219" t="n"/>
      <c r="D3" s="219" t="n"/>
      <c r="E3" s="220" t="n"/>
      <c r="G3" s="91" t="inlineStr">
        <is>
          <t>Command Class</t>
        </is>
      </c>
      <c r="H3" s="91" t="inlineStr">
        <is>
          <t>Module Command  Index</t>
        </is>
      </c>
      <c r="I3" s="91" t="inlineStr">
        <is>
          <t>SubCmd</t>
        </is>
      </c>
      <c r="J3" s="91" t="inlineStr">
        <is>
          <t>reserved</t>
        </is>
      </c>
      <c r="K3" s="91" t="inlineStr">
        <is>
          <t>Para1[0]</t>
        </is>
      </c>
      <c r="L3" s="91" t="inlineStr">
        <is>
          <t>Para1[1]</t>
        </is>
      </c>
      <c r="M3" s="91" t="inlineStr">
        <is>
          <t>Para1[2]</t>
        </is>
      </c>
      <c r="N3" s="91" t="inlineStr">
        <is>
          <t>Para1[3]</t>
        </is>
      </c>
      <c r="O3" s="91" t="inlineStr">
        <is>
          <t>Para2[0]</t>
        </is>
      </c>
      <c r="P3" s="91" t="inlineStr">
        <is>
          <t>Para2[1]</t>
        </is>
      </c>
      <c r="Q3" s="91" t="inlineStr">
        <is>
          <t>Para2[2]</t>
        </is>
      </c>
      <c r="R3" s="91" t="inlineStr">
        <is>
          <t>Para2[3]</t>
        </is>
      </c>
      <c r="S3" s="91" t="inlineStr">
        <is>
          <t>Len[0]</t>
        </is>
      </c>
      <c r="T3" s="91" t="inlineStr">
        <is>
          <t>Len[1]</t>
        </is>
      </c>
      <c r="U3" s="91" t="n"/>
      <c r="V3" s="91" t="n"/>
      <c r="W3" s="91" t="n"/>
      <c r="X3" s="216" t="n"/>
      <c r="Y3" s="221" t="n"/>
      <c r="Z3" s="192" t="n"/>
    </row>
    <row r="4">
      <c r="A4" s="146" t="inlineStr">
        <is>
          <t>Shutter Related</t>
        </is>
      </c>
      <c r="B4" s="147" t="inlineStr">
        <is>
          <t>Shutter Calibration</t>
        </is>
      </c>
      <c r="C4" s="147" t="n"/>
      <c r="D4" s="148" t="inlineStr">
        <is>
          <t>55 43 49 12 00 10 02 43 00 00 00 00 00 00 00 00 00 00 00 00 00 CF C8</t>
        </is>
      </c>
      <c r="E4" s="195" t="n"/>
      <c r="F4" s="150" t="n"/>
      <c r="G4" s="151" t="inlineStr">
        <is>
          <t>0x10</t>
        </is>
      </c>
      <c r="H4" s="152" t="inlineStr">
        <is>
          <t>0x02</t>
        </is>
      </c>
      <c r="I4" s="152" t="inlineStr">
        <is>
          <t>0x43</t>
        </is>
      </c>
      <c r="J4" s="152" t="inlineStr">
        <is>
          <t>0x00</t>
        </is>
      </c>
      <c r="K4" s="152" t="inlineStr">
        <is>
          <t>0x00</t>
        </is>
      </c>
      <c r="L4" s="152" t="inlineStr">
        <is>
          <t>0x00</t>
        </is>
      </c>
      <c r="M4" s="152" t="inlineStr">
        <is>
          <t>0x00</t>
        </is>
      </c>
      <c r="N4" s="152" t="inlineStr">
        <is>
          <t>0x00</t>
        </is>
      </c>
      <c r="O4" s="152" t="inlineStr">
        <is>
          <t>0x00</t>
        </is>
      </c>
      <c r="P4" s="152" t="inlineStr">
        <is>
          <t>0x00</t>
        </is>
      </c>
      <c r="Q4" s="152" t="inlineStr">
        <is>
          <t>0x00</t>
        </is>
      </c>
      <c r="R4" s="152" t="inlineStr">
        <is>
          <t>0x00</t>
        </is>
      </c>
      <c r="S4" s="152" t="inlineStr">
        <is>
          <t>0x00</t>
        </is>
      </c>
      <c r="T4" s="152" t="inlineStr">
        <is>
          <t>0x00</t>
        </is>
      </c>
      <c r="U4" s="152" t="inlineStr">
        <is>
          <t>0x00</t>
        </is>
      </c>
      <c r="V4" s="152" t="inlineStr">
        <is>
          <t>0x00</t>
        </is>
      </c>
      <c r="W4" s="180">
        <f>"0x"&amp;MID(D4,64,2)</f>
        <v/>
      </c>
      <c r="X4" s="180">
        <f>"0x"&amp;MID(D4,67,2)</f>
        <v/>
      </c>
      <c r="Y4" s="182">
        <f>CONCATENATE(RIGHT(G4,2)," ",RIGHT(H4,2)," ",RIGHT(I4,2)," ",RIGHT(J4,2)," ",RIGHT(K4,2)," ",RIGHT(L4,2)," ",RIGHT(M4,2)," ",RIGHT(N4,2)," ",RIGHT(O4,2)," ",RIGHT(P4,2)," ",RIGHT(Q4,2)," ",RIGHT(R4,2)," ",RIGHT(S4,2)," ",RIGHT(T4,2)," ",RIGHT(U4,2)," ",RIGHT(V4,2)," ",RIGHT(W4,2)," ",RIGHT(X4,2))</f>
        <v/>
      </c>
    </row>
    <row r="5">
      <c r="A5" s="222" t="n"/>
      <c r="B5" s="160" t="inlineStr">
        <is>
          <t>Background Correction</t>
        </is>
      </c>
      <c r="C5" s="160" t="n"/>
      <c r="D5" s="184" t="inlineStr">
        <is>
          <t>55 43 49 12 00 01 10 52 00 00 00 00 00 00 00 00 00 00 00 00 00 24 FD</t>
        </is>
      </c>
      <c r="E5" s="161" t="n"/>
      <c r="F5" s="191" t="n"/>
      <c r="G5" s="192" t="inlineStr">
        <is>
          <t>0x01</t>
        </is>
      </c>
      <c r="H5" s="178" t="inlineStr">
        <is>
          <t>0x10</t>
        </is>
      </c>
      <c r="I5" s="178" t="inlineStr">
        <is>
          <t>0x52</t>
        </is>
      </c>
      <c r="J5" s="178" t="inlineStr">
        <is>
          <t>0x00</t>
        </is>
      </c>
      <c r="K5" s="178" t="inlineStr">
        <is>
          <t>0x00</t>
        </is>
      </c>
      <c r="L5" s="178" t="inlineStr">
        <is>
          <t>0x00</t>
        </is>
      </c>
      <c r="M5" s="178" t="inlineStr">
        <is>
          <t>0x00</t>
        </is>
      </c>
      <c r="N5" s="178" t="inlineStr">
        <is>
          <t>0x00</t>
        </is>
      </c>
      <c r="O5" s="178" t="inlineStr">
        <is>
          <t>0x00</t>
        </is>
      </c>
      <c r="P5" s="178" t="inlineStr">
        <is>
          <t>0x00</t>
        </is>
      </c>
      <c r="Q5" s="178" t="inlineStr">
        <is>
          <t>0x00</t>
        </is>
      </c>
      <c r="R5" s="178" t="inlineStr">
        <is>
          <t>0x00</t>
        </is>
      </c>
      <c r="S5" s="178" t="inlineStr">
        <is>
          <t>0x00</t>
        </is>
      </c>
      <c r="T5" s="178" t="inlineStr">
        <is>
          <t>0x00</t>
        </is>
      </c>
      <c r="U5" s="178" t="inlineStr">
        <is>
          <t>0x00</t>
        </is>
      </c>
      <c r="V5" s="178" t="inlineStr">
        <is>
          <t>0x00</t>
        </is>
      </c>
      <c r="W5" s="180">
        <f>"0x"&amp;MID(D5,64,2)</f>
        <v/>
      </c>
      <c r="X5" s="180">
        <f>"0x"&amp;MID(D5,67,2)</f>
        <v/>
      </c>
      <c r="Y5" s="182">
        <f>CONCATENATE(RIGHT(G5,2)," ",RIGHT(H5,2)," ",RIGHT(I5,2)," ",RIGHT(J5,2)," ",RIGHT(K5,2)," ",RIGHT(L5,2)," ",RIGHT(M5,2)," ",RIGHT(N5,2)," ",RIGHT(O5,2)," ",RIGHT(P5,2)," ",RIGHT(Q5,2)," ",RIGHT(R5,2)," ",RIGHT(S5,2)," ",RIGHT(T5,2)," ",RIGHT(U5,2)," ",RIGHT(V5,2)," ",RIGHT(W5,2)," ",RIGHT(X5,2))</f>
        <v/>
      </c>
    </row>
    <row r="6">
      <c r="A6" s="222" t="n"/>
      <c r="B6" s="160" t="inlineStr">
        <is>
          <t>Close Shutter</t>
        </is>
      </c>
      <c r="C6" s="160" t="n"/>
      <c r="D6" s="184" t="inlineStr">
        <is>
          <t>55 43 49 12 00 01 0F 45 00 00 00 00 00 00 00 00 00 00 00 00 00 8D 5A</t>
        </is>
      </c>
      <c r="E6" s="161" t="n"/>
      <c r="F6" s="191" t="n"/>
      <c r="G6" s="192" t="inlineStr">
        <is>
          <t>0x01</t>
        </is>
      </c>
      <c r="H6" s="178" t="inlineStr">
        <is>
          <t>0x0F</t>
        </is>
      </c>
      <c r="I6" s="178" t="inlineStr">
        <is>
          <t>0x45</t>
        </is>
      </c>
      <c r="J6" s="178" t="inlineStr">
        <is>
          <t>0x00</t>
        </is>
      </c>
      <c r="K6" s="178" t="inlineStr">
        <is>
          <t>0x00</t>
        </is>
      </c>
      <c r="L6" s="178" t="inlineStr">
        <is>
          <t>0x00</t>
        </is>
      </c>
      <c r="M6" s="178" t="inlineStr">
        <is>
          <t>0x00</t>
        </is>
      </c>
      <c r="N6" s="178" t="inlineStr">
        <is>
          <t>0x00</t>
        </is>
      </c>
      <c r="O6" s="178" t="inlineStr">
        <is>
          <t>0x00</t>
        </is>
      </c>
      <c r="P6" s="178" t="inlineStr">
        <is>
          <t>0x00</t>
        </is>
      </c>
      <c r="Q6" s="178" t="inlineStr">
        <is>
          <t>0x00</t>
        </is>
      </c>
      <c r="R6" s="178" t="inlineStr">
        <is>
          <t>0x00</t>
        </is>
      </c>
      <c r="S6" s="178" t="inlineStr">
        <is>
          <t>0x00</t>
        </is>
      </c>
      <c r="T6" s="178" t="inlineStr">
        <is>
          <t>0x00</t>
        </is>
      </c>
      <c r="U6" s="178" t="inlineStr">
        <is>
          <t>0x00</t>
        </is>
      </c>
      <c r="V6" s="178" t="inlineStr">
        <is>
          <t>0x00</t>
        </is>
      </c>
      <c r="W6" s="180">
        <f>"0x"&amp;MID(D6,64,2)</f>
        <v/>
      </c>
      <c r="X6" s="180">
        <f>"0x"&amp;MID(D6,67,2)</f>
        <v/>
      </c>
      <c r="Y6" s="182">
        <f>CONCATENATE(RIGHT(G6,2)," ",RIGHT(H6,2)," ",RIGHT(I6,2)," ",RIGHT(J6,2)," ",RIGHT(K6,2)," ",RIGHT(L6,2)," ",RIGHT(M6,2)," ",RIGHT(N6,2)," ",RIGHT(O6,2)," ",RIGHT(P6,2)," ",RIGHT(Q6,2)," ",RIGHT(R6,2)," ",RIGHT(S6,2)," ",RIGHT(T6,2)," ",RIGHT(U6,2)," ",RIGHT(V6,2)," ",RIGHT(W6,2)," ",RIGHT(X6,2))</f>
        <v/>
      </c>
    </row>
    <row r="7">
      <c r="A7" s="222" t="n"/>
      <c r="B7" s="160" t="inlineStr">
        <is>
          <t>Open Shutter</t>
        </is>
      </c>
      <c r="C7" s="160" t="n"/>
      <c r="D7" s="184" t="inlineStr">
        <is>
          <t>55 43 49 12 00 01 0F 45 00 01 00 00 00 00 00 00 00 00 00 00 00 F8 59</t>
        </is>
      </c>
      <c r="E7" s="161" t="n"/>
      <c r="F7" s="191" t="n"/>
      <c r="G7" s="192" t="inlineStr">
        <is>
          <t>0x01</t>
        </is>
      </c>
      <c r="H7" s="178" t="inlineStr">
        <is>
          <t>0x0F</t>
        </is>
      </c>
      <c r="I7" s="178" t="inlineStr">
        <is>
          <t>0x45</t>
        </is>
      </c>
      <c r="J7" s="178" t="inlineStr">
        <is>
          <t>0x00</t>
        </is>
      </c>
      <c r="K7" s="178" t="inlineStr">
        <is>
          <t>0x01</t>
        </is>
      </c>
      <c r="L7" s="178" t="inlineStr">
        <is>
          <t>0x00</t>
        </is>
      </c>
      <c r="M7" s="178" t="inlineStr">
        <is>
          <t>0x00</t>
        </is>
      </c>
      <c r="N7" s="178" t="inlineStr">
        <is>
          <t>0x00</t>
        </is>
      </c>
      <c r="O7" s="178" t="inlineStr">
        <is>
          <t>0x00</t>
        </is>
      </c>
      <c r="P7" s="178" t="inlineStr">
        <is>
          <t>0x00</t>
        </is>
      </c>
      <c r="Q7" s="178" t="inlineStr">
        <is>
          <t>0x00</t>
        </is>
      </c>
      <c r="R7" s="178" t="inlineStr">
        <is>
          <t>0x00</t>
        </is>
      </c>
      <c r="S7" s="178" t="inlineStr">
        <is>
          <t>0x00</t>
        </is>
      </c>
      <c r="T7" s="178" t="inlineStr">
        <is>
          <t>0x00</t>
        </is>
      </c>
      <c r="U7" s="178" t="inlineStr">
        <is>
          <t>0x00</t>
        </is>
      </c>
      <c r="V7" s="178" t="inlineStr">
        <is>
          <t>0x00</t>
        </is>
      </c>
      <c r="W7" s="180">
        <f>"0x"&amp;MID(D7,64,2)</f>
        <v/>
      </c>
      <c r="X7" s="180">
        <f>"0x"&amp;MID(D7,67,2)</f>
        <v/>
      </c>
      <c r="Y7" s="182">
        <f>CONCATENATE(RIGHT(G7,2)," ",RIGHT(H7,2)," ",RIGHT(I7,2)," ",RIGHT(J7,2)," ",RIGHT(K7,2)," ",RIGHT(L7,2)," ",RIGHT(M7,2)," ",RIGHT(N7,2)," ",RIGHT(O7,2)," ",RIGHT(P7,2)," ",RIGHT(Q7,2)," ",RIGHT(R7,2)," ",RIGHT(S7,2)," ",RIGHT(T7,2)," ",RIGHT(U7,2)," ",RIGHT(V7,2)," ",RIGHT(W7,2)," ",RIGHT(X7,2))</f>
        <v/>
      </c>
    </row>
    <row r="8" s="17">
      <c r="A8" s="222" t="n"/>
      <c r="B8" s="160" t="inlineStr">
        <is>
          <t>Auto Shutter Switch</t>
        </is>
      </c>
      <c r="C8" s="160" t="inlineStr">
        <is>
          <t>Set - Off</t>
        </is>
      </c>
      <c r="D8" s="160" t="inlineStr">
        <is>
          <t>55 43 49 12 00 10 02 41 00 00 00 00 00 00 00 00 00 00 00 00 00 0D 3E</t>
        </is>
      </c>
      <c r="E8" s="161" t="inlineStr">
        <is>
          <t>Get Time Return: 
BE AA 02 00 00 00 AD FA EB AA: Indicates Off
BE AA 02 00 00 01 8C EA EB AA: Indicates On</t>
        </is>
      </c>
      <c r="F8" s="191" t="n"/>
      <c r="G8" s="192" t="inlineStr">
        <is>
          <t>0x10</t>
        </is>
      </c>
      <c r="H8" s="178" t="inlineStr">
        <is>
          <t>0x02</t>
        </is>
      </c>
      <c r="I8" s="178" t="inlineStr">
        <is>
          <t>0x41</t>
        </is>
      </c>
      <c r="J8" s="178" t="inlineStr">
        <is>
          <t>0x00</t>
        </is>
      </c>
      <c r="K8" s="178" t="inlineStr">
        <is>
          <t>0x00</t>
        </is>
      </c>
      <c r="L8" s="178" t="inlineStr">
        <is>
          <t>0x00</t>
        </is>
      </c>
      <c r="M8" s="178" t="inlineStr">
        <is>
          <t>0x00</t>
        </is>
      </c>
      <c r="N8" s="178" t="inlineStr">
        <is>
          <t>0x00</t>
        </is>
      </c>
      <c r="O8" s="178" t="inlineStr">
        <is>
          <t>0x00</t>
        </is>
      </c>
      <c r="P8" s="178" t="inlineStr">
        <is>
          <t>0x00</t>
        </is>
      </c>
      <c r="Q8" s="178" t="inlineStr">
        <is>
          <t>0x00</t>
        </is>
      </c>
      <c r="R8" s="178" t="inlineStr">
        <is>
          <t>0x00</t>
        </is>
      </c>
      <c r="S8" s="178" t="inlineStr">
        <is>
          <t>0x00</t>
        </is>
      </c>
      <c r="T8" s="178" t="inlineStr">
        <is>
          <t>0x00</t>
        </is>
      </c>
      <c r="U8" s="178" t="inlineStr">
        <is>
          <t>0x00</t>
        </is>
      </c>
      <c r="V8" s="178" t="inlineStr">
        <is>
          <t>0x00</t>
        </is>
      </c>
      <c r="W8" s="180">
        <f>"0x"&amp;MID(D8,64,2)</f>
        <v/>
      </c>
      <c r="X8" s="180">
        <f>"0x"&amp;MID(D8,67,2)</f>
        <v/>
      </c>
      <c r="Y8" s="182">
        <f>CONCATENATE(RIGHT(G8,2)," ",RIGHT(H8,2)," ",RIGHT(I8,2)," ",RIGHT(J8,2)," ",RIGHT(K8,2)," ",RIGHT(L8,2)," ",RIGHT(M8,2)," ",RIGHT(N8,2)," ",RIGHT(O8,2)," ",RIGHT(P8,2)," ",RIGHT(Q8,2)," ",RIGHT(R8,2)," ",RIGHT(S8,2)," ",RIGHT(T8,2)," ",RIGHT(U8,2)," ",RIGHT(V8,2)," ",RIGHT(W8,2)," ",RIGHT(X8,2))</f>
        <v/>
      </c>
    </row>
    <row r="9">
      <c r="A9" s="222" t="n"/>
      <c r="B9" s="223" t="n"/>
      <c r="C9" s="160" t="inlineStr">
        <is>
          <t>Set - On</t>
        </is>
      </c>
      <c r="D9" s="160" t="inlineStr">
        <is>
          <t>55 43 49 12 00 10 02 41 00 01 00 00 00 00 00 00 00 00 00 00 00 78 3D</t>
        </is>
      </c>
      <c r="E9" s="224" t="n"/>
      <c r="F9" s="191" t="n"/>
      <c r="G9" s="192" t="inlineStr">
        <is>
          <t>0x10</t>
        </is>
      </c>
      <c r="H9" s="178" t="inlineStr">
        <is>
          <t>0x02</t>
        </is>
      </c>
      <c r="I9" s="178" t="inlineStr">
        <is>
          <t>0x41</t>
        </is>
      </c>
      <c r="J9" s="178" t="inlineStr">
        <is>
          <t>0x00</t>
        </is>
      </c>
      <c r="K9" s="178" t="inlineStr">
        <is>
          <t>0x01</t>
        </is>
      </c>
      <c r="L9" s="178" t="inlineStr">
        <is>
          <t>0x00</t>
        </is>
      </c>
      <c r="M9" s="178" t="inlineStr">
        <is>
          <t>0x00</t>
        </is>
      </c>
      <c r="N9" s="178" t="inlineStr">
        <is>
          <t>0x00</t>
        </is>
      </c>
      <c r="O9" s="178" t="inlineStr">
        <is>
          <t>0x00</t>
        </is>
      </c>
      <c r="P9" s="178" t="inlineStr">
        <is>
          <t>0x00</t>
        </is>
      </c>
      <c r="Q9" s="178" t="inlineStr">
        <is>
          <t>0x00</t>
        </is>
      </c>
      <c r="R9" s="178" t="inlineStr">
        <is>
          <t>0x00</t>
        </is>
      </c>
      <c r="S9" s="178" t="inlineStr">
        <is>
          <t>0x00</t>
        </is>
      </c>
      <c r="T9" s="178" t="inlineStr">
        <is>
          <t>0x00</t>
        </is>
      </c>
      <c r="U9" s="178" t="inlineStr">
        <is>
          <t>0x00</t>
        </is>
      </c>
      <c r="V9" s="178" t="inlineStr">
        <is>
          <t>0x00</t>
        </is>
      </c>
      <c r="W9" s="180">
        <f>"0x"&amp;MID(D9,64,2)</f>
        <v/>
      </c>
      <c r="X9" s="180">
        <f>"0x"&amp;MID(D9,67,2)</f>
        <v/>
      </c>
      <c r="Y9" s="182">
        <f>CONCATENATE(RIGHT(G9,2)," ",RIGHT(H9,2)," ",RIGHT(I9,2)," ",RIGHT(J9,2)," ",RIGHT(K9,2)," ",RIGHT(L9,2)," ",RIGHT(M9,2)," ",RIGHT(N9,2)," ",RIGHT(O9,2)," ",RIGHT(P9,2)," ",RIGHT(Q9,2)," ",RIGHT(R9,2)," ",RIGHT(S9,2)," ",RIGHT(T9,2)," ",RIGHT(U9,2)," ",RIGHT(V9,2)," ",RIGHT(W9,2)," ",RIGHT(X9,2))</f>
        <v/>
      </c>
    </row>
    <row r="10" s="17">
      <c r="A10" s="222" t="n"/>
      <c r="B10" s="225" t="n"/>
      <c r="C10" s="160" t="inlineStr">
        <is>
          <t>Get</t>
        </is>
      </c>
      <c r="D10" s="160" t="inlineStr">
        <is>
          <t>55 43 49 12 00 10 02 81 00 00 00 00 00 00 00 00 00 01 00 00 00 78 34</t>
        </is>
      </c>
      <c r="E10" s="226" t="n"/>
      <c r="F10" s="191" t="n"/>
      <c r="G10" s="192" t="inlineStr">
        <is>
          <t>0x10</t>
        </is>
      </c>
      <c r="H10" s="178" t="inlineStr">
        <is>
          <t>0x02</t>
        </is>
      </c>
      <c r="I10" s="178" t="inlineStr">
        <is>
          <t>0x81</t>
        </is>
      </c>
      <c r="J10" s="178" t="inlineStr">
        <is>
          <t>0x00</t>
        </is>
      </c>
      <c r="K10" s="178" t="inlineStr">
        <is>
          <t>0x00</t>
        </is>
      </c>
      <c r="L10" s="178" t="inlineStr">
        <is>
          <t>0x00</t>
        </is>
      </c>
      <c r="M10" s="178" t="inlineStr">
        <is>
          <t>0x00</t>
        </is>
      </c>
      <c r="N10" s="178" t="inlineStr">
        <is>
          <t>0x00</t>
        </is>
      </c>
      <c r="O10" s="178" t="inlineStr">
        <is>
          <t>0x00</t>
        </is>
      </c>
      <c r="P10" s="178" t="inlineStr">
        <is>
          <t>0x00</t>
        </is>
      </c>
      <c r="Q10" s="178" t="inlineStr">
        <is>
          <t>0x00</t>
        </is>
      </c>
      <c r="R10" s="178" t="inlineStr">
        <is>
          <t>0x00</t>
        </is>
      </c>
      <c r="S10" s="178" t="inlineStr">
        <is>
          <t>0x01</t>
        </is>
      </c>
      <c r="T10" s="178" t="inlineStr">
        <is>
          <t>0x00</t>
        </is>
      </c>
      <c r="U10" s="178" t="inlineStr">
        <is>
          <t>0x00</t>
        </is>
      </c>
      <c r="V10" s="178" t="inlineStr">
        <is>
          <t>0x00</t>
        </is>
      </c>
      <c r="W10" s="180">
        <f>"0x"&amp;MID(D10,64,2)</f>
        <v/>
      </c>
      <c r="X10" s="180">
        <f>"0x"&amp;MID(D10,67,2)</f>
        <v/>
      </c>
      <c r="Y10" s="182">
        <f>CONCATENATE(RIGHT(G10,2)," ",RIGHT(H10,2)," ",RIGHT(I10,2)," ",RIGHT(J10,2)," ",RIGHT(K10,2)," ",RIGHT(L10,2)," ",RIGHT(M10,2)," ",RIGHT(N10,2)," ",RIGHT(O10,2)," ",RIGHT(P10,2)," ",RIGHT(Q10,2)," ",RIGHT(R10,2)," ",RIGHT(S10,2)," ",RIGHT(T10,2)," ",RIGHT(U10,2)," ",RIGHT(V10,2)," ",RIGHT(W10,2)," ",RIGHT(X10,2))</f>
        <v/>
      </c>
    </row>
    <row r="11">
      <c r="A11" s="222" t="n"/>
      <c r="B11" s="174" t="inlineStr">
        <is>
          <t>Auto Shutter Parameters</t>
        </is>
      </c>
      <c r="C11" s="159" t="inlineStr">
        <is>
          <t>Set - Temperature 10</t>
        </is>
      </c>
      <c r="D11" s="160" t="inlineStr">
        <is>
          <t>55 43 49 12 00 10 02 42 00 00 0a 00 00 00 00 00 00 00 00 00 00 93 b1</t>
        </is>
      </c>
      <c r="E11" s="161" t="inlineStr">
        <is>
          <t>Configuration Value: Para1[2], Para1[1] 0x0a 0x00 indicates 10 temperature values, approximately 10/32=0.3125 degrees</t>
        </is>
      </c>
      <c r="F11" s="162" t="n"/>
      <c r="G11" s="192" t="inlineStr">
        <is>
          <t>0x10</t>
        </is>
      </c>
      <c r="H11" s="178" t="inlineStr">
        <is>
          <t>0x02</t>
        </is>
      </c>
      <c r="I11" s="178" t="inlineStr">
        <is>
          <t>0x42</t>
        </is>
      </c>
      <c r="J11" s="178" t="inlineStr">
        <is>
          <t>0x00</t>
        </is>
      </c>
      <c r="K11" s="178" t="inlineStr">
        <is>
          <t>0x00</t>
        </is>
      </c>
      <c r="L11" s="130" t="inlineStr">
        <is>
          <t>0x0A</t>
        </is>
      </c>
      <c r="M11" s="130" t="inlineStr">
        <is>
          <t>0x00</t>
        </is>
      </c>
      <c r="N11" s="178" t="inlineStr">
        <is>
          <t>0x00</t>
        </is>
      </c>
      <c r="O11" s="178" t="inlineStr">
        <is>
          <t>0x00</t>
        </is>
      </c>
      <c r="P11" s="178" t="inlineStr">
        <is>
          <t>0x00</t>
        </is>
      </c>
      <c r="Q11" s="178" t="inlineStr">
        <is>
          <t>0x00</t>
        </is>
      </c>
      <c r="R11" s="178" t="inlineStr">
        <is>
          <t>0x00</t>
        </is>
      </c>
      <c r="S11" s="178" t="inlineStr">
        <is>
          <t>0x00</t>
        </is>
      </c>
      <c r="T11" s="178" t="inlineStr">
        <is>
          <t>0x00</t>
        </is>
      </c>
      <c r="U11" s="178" t="inlineStr">
        <is>
          <t>0x00</t>
        </is>
      </c>
      <c r="V11" s="178" t="inlineStr">
        <is>
          <t>0x00</t>
        </is>
      </c>
      <c r="W11" s="180">
        <f>"0x"&amp;MID(D11,64,2)</f>
        <v/>
      </c>
      <c r="X11" s="180">
        <f>"0x"&amp;MID(D11,67,2)</f>
        <v/>
      </c>
      <c r="Y11" s="182">
        <f>CONCATENATE(RIGHT(G11,2)," ",RIGHT(H11,2)," ",RIGHT(I11,2)," ",RIGHT(J11,2)," ",RIGHT(K11,2)," ",RIGHT(L11,2)," ",RIGHT(M11,2)," ",RIGHT(N11,2)," ",RIGHT(O11,2)," ",RIGHT(P11,2)," ",RIGHT(Q11,2)," ",RIGHT(R11,2)," ",RIGHT(S11,2)," ",RIGHT(T11,2)," ",RIGHT(U11,2)," ",RIGHT(V11,2)," ",RIGHT(W11,2)," ",RIGHT(X11,2))</f>
        <v/>
      </c>
    </row>
    <row r="12">
      <c r="A12" s="222" t="n"/>
      <c r="B12" s="223" t="n"/>
      <c r="C12" s="159" t="inlineStr">
        <is>
          <t>Set - Temperature 50</t>
        </is>
      </c>
      <c r="D12" s="160" t="inlineStr">
        <is>
          <t>55 43 49 12 00 10 02 42 00 00 32 00 00 00 00 00 00 00 00 00 00 5A EC</t>
        </is>
      </c>
      <c r="E12" s="161" t="inlineStr">
        <is>
          <t>Configuration Value: Para1[2], Para1[1] 0x32 0x00 indicates 50 temperature values, approximately 50/32=1.56 degrees</t>
        </is>
      </c>
      <c r="F12" s="191" t="n"/>
      <c r="G12" s="192" t="inlineStr">
        <is>
          <t>0x10</t>
        </is>
      </c>
      <c r="H12" s="178" t="inlineStr">
        <is>
          <t>0x02</t>
        </is>
      </c>
      <c r="I12" s="178" t="inlineStr">
        <is>
          <t>0x42</t>
        </is>
      </c>
      <c r="J12" s="178" t="inlineStr">
        <is>
          <t>0x00</t>
        </is>
      </c>
      <c r="K12" s="178" t="inlineStr">
        <is>
          <t>0x00</t>
        </is>
      </c>
      <c r="L12" s="130" t="inlineStr">
        <is>
          <t>0x32</t>
        </is>
      </c>
      <c r="M12" s="130" t="inlineStr">
        <is>
          <t>0x00</t>
        </is>
      </c>
      <c r="N12" s="178" t="inlineStr">
        <is>
          <t>0x00</t>
        </is>
      </c>
      <c r="O12" s="178" t="inlineStr">
        <is>
          <t>0x00</t>
        </is>
      </c>
      <c r="P12" s="178" t="inlineStr">
        <is>
          <t>0x00</t>
        </is>
      </c>
      <c r="Q12" s="178" t="inlineStr">
        <is>
          <t>0x00</t>
        </is>
      </c>
      <c r="R12" s="178" t="inlineStr">
        <is>
          <t>0x00</t>
        </is>
      </c>
      <c r="S12" s="178" t="inlineStr">
        <is>
          <t>0x00</t>
        </is>
      </c>
      <c r="T12" s="178" t="inlineStr">
        <is>
          <t>0x00</t>
        </is>
      </c>
      <c r="U12" s="178" t="inlineStr">
        <is>
          <t>0x00</t>
        </is>
      </c>
      <c r="V12" s="178" t="inlineStr">
        <is>
          <t>0x00</t>
        </is>
      </c>
      <c r="W12" s="180">
        <f>"0x"&amp;MID(D12,64,2)</f>
        <v/>
      </c>
      <c r="X12" s="180">
        <f>"0x"&amp;MID(D12,67,2)</f>
        <v/>
      </c>
      <c r="Y12" s="182">
        <f>CONCATENATE(RIGHT(G12,2)," ",RIGHT(H12,2)," ",RIGHT(I12,2)," ",RIGHT(J12,2)," ",RIGHT(K12,2)," ",RIGHT(L12,2)," ",RIGHT(M12,2)," ",RIGHT(N12,2)," ",RIGHT(O12,2)," ",RIGHT(P12,2)," ",RIGHT(Q12,2)," ",RIGHT(R12,2)," ",RIGHT(S12,2)," ",RIGHT(T12,2)," ",RIGHT(U12,2)," ",RIGHT(V12,2)," ",RIGHT(W12,2)," ",RIGHT(X12,2))</f>
        <v/>
      </c>
    </row>
    <row r="13">
      <c r="A13" s="222" t="n"/>
      <c r="B13" s="223" t="n"/>
      <c r="C13" s="164" t="inlineStr">
        <is>
          <t>Set - Minimum Interval Time 1s</t>
        </is>
      </c>
      <c r="D13" s="160" t="inlineStr">
        <is>
          <t>55 43 49 12 00 10 02 42 00 01 01 00 00 00 00 00 00 00 00 00 00 92 68</t>
        </is>
      </c>
      <c r="E13" s="161" t="inlineStr">
        <is>
          <t>Configuration Value: Para1[2], Para1[1] 0x01 0x00 indicates 1s</t>
        </is>
      </c>
      <c r="F13" s="191" t="n"/>
      <c r="G13" s="192" t="inlineStr">
        <is>
          <t>0x10</t>
        </is>
      </c>
      <c r="H13" s="178" t="inlineStr">
        <is>
          <t>0x02</t>
        </is>
      </c>
      <c r="I13" s="178" t="inlineStr">
        <is>
          <t>0x42</t>
        </is>
      </c>
      <c r="J13" s="178" t="inlineStr">
        <is>
          <t>0x00</t>
        </is>
      </c>
      <c r="K13" s="178" t="inlineStr">
        <is>
          <t>0x01</t>
        </is>
      </c>
      <c r="L13" s="130" t="inlineStr">
        <is>
          <t>0x01</t>
        </is>
      </c>
      <c r="M13" s="130" t="inlineStr">
        <is>
          <t>0x00</t>
        </is>
      </c>
      <c r="N13" s="178" t="inlineStr">
        <is>
          <t>0x00</t>
        </is>
      </c>
      <c r="O13" s="178" t="inlineStr">
        <is>
          <t>0x00</t>
        </is>
      </c>
      <c r="P13" s="178" t="inlineStr">
        <is>
          <t>0x00</t>
        </is>
      </c>
      <c r="Q13" s="178" t="inlineStr">
        <is>
          <t>0x00</t>
        </is>
      </c>
      <c r="R13" s="178" t="inlineStr">
        <is>
          <t>0x00</t>
        </is>
      </c>
      <c r="S13" s="178" t="inlineStr">
        <is>
          <t>0x00</t>
        </is>
      </c>
      <c r="T13" s="178" t="inlineStr">
        <is>
          <t>0x00</t>
        </is>
      </c>
      <c r="U13" s="178" t="inlineStr">
        <is>
          <t>0x00</t>
        </is>
      </c>
      <c r="V13" s="178" t="inlineStr">
        <is>
          <t>0x00</t>
        </is>
      </c>
      <c r="W13" s="180">
        <f>"0x"&amp;MID(D13,64,2)</f>
        <v/>
      </c>
      <c r="X13" s="180">
        <f>"0x"&amp;MID(D13,67,2)</f>
        <v/>
      </c>
      <c r="Y13" s="182">
        <f>CONCATENATE(RIGHT(G13,2)," ",RIGHT(H13,2)," ",RIGHT(I13,2)," ",RIGHT(J13,2)," ",RIGHT(K13,2)," ",RIGHT(L13,2)," ",RIGHT(M13,2)," ",RIGHT(N13,2)," ",RIGHT(O13,2)," ",RIGHT(P13,2)," ",RIGHT(Q13,2)," ",RIGHT(R13,2)," ",RIGHT(S13,2)," ",RIGHT(T13,2)," ",RIGHT(U13,2)," ",RIGHT(V13,2)," ",RIGHT(W13,2)," ",RIGHT(X13,2))</f>
        <v/>
      </c>
    </row>
    <row r="14">
      <c r="A14" s="222" t="n"/>
      <c r="B14" s="223" t="n"/>
      <c r="C14" s="159" t="inlineStr">
        <is>
          <t>Set - Maximum Interval Time 120s</t>
        </is>
      </c>
      <c r="D14" s="160" t="inlineStr">
        <is>
          <t>55 43 49 12 00 10 02 42 00 02 78 00 00 00 00 00 00 00 00 00 00 58 ac</t>
        </is>
      </c>
      <c r="E14" s="161" t="inlineStr">
        <is>
          <t>Configuration Value: Para1[2], Para1[1] 0x78 0x00 indicates 120s</t>
        </is>
      </c>
      <c r="F14" s="191" t="n"/>
      <c r="G14" s="192" t="inlineStr">
        <is>
          <t>0x10</t>
        </is>
      </c>
      <c r="H14" s="178" t="inlineStr">
        <is>
          <t>0x02</t>
        </is>
      </c>
      <c r="I14" s="178" t="inlineStr">
        <is>
          <t>0x42</t>
        </is>
      </c>
      <c r="J14" s="178" t="inlineStr">
        <is>
          <t>0x00</t>
        </is>
      </c>
      <c r="K14" s="178" t="inlineStr">
        <is>
          <t>0x02</t>
        </is>
      </c>
      <c r="L14" s="130" t="inlineStr">
        <is>
          <t>0x78</t>
        </is>
      </c>
      <c r="M14" s="130" t="inlineStr">
        <is>
          <t>0x00</t>
        </is>
      </c>
      <c r="N14" s="178" t="inlineStr">
        <is>
          <t>0x00</t>
        </is>
      </c>
      <c r="O14" s="178" t="inlineStr">
        <is>
          <t>0x00</t>
        </is>
      </c>
      <c r="P14" s="178" t="inlineStr">
        <is>
          <t>0x00</t>
        </is>
      </c>
      <c r="Q14" s="178" t="inlineStr">
        <is>
          <t>0x00</t>
        </is>
      </c>
      <c r="R14" s="178" t="inlineStr">
        <is>
          <t>0x00</t>
        </is>
      </c>
      <c r="S14" s="178" t="inlineStr">
        <is>
          <t>0x00</t>
        </is>
      </c>
      <c r="T14" s="178" t="inlineStr">
        <is>
          <t>0x00</t>
        </is>
      </c>
      <c r="U14" s="178" t="inlineStr">
        <is>
          <t>0x00</t>
        </is>
      </c>
      <c r="V14" s="178" t="inlineStr">
        <is>
          <t>0x00</t>
        </is>
      </c>
      <c r="W14" s="180">
        <f>"0x"&amp;MID(D14,64,2)</f>
        <v/>
      </c>
      <c r="X14" s="180">
        <f>"0x"&amp;MID(D14,67,2)</f>
        <v/>
      </c>
      <c r="Y14" s="182">
        <f>CONCATENATE(RIGHT(G14,2)," ",RIGHT(H14,2)," ",RIGHT(I14,2)," ",RIGHT(J14,2)," ",RIGHT(K14,2)," ",RIGHT(L14,2)," ",RIGHT(M14,2)," ",RIGHT(N14,2)," ",RIGHT(O14,2)," ",RIGHT(P14,2)," ",RIGHT(Q14,2)," ",RIGHT(R14,2)," ",RIGHT(S14,2)," ",RIGHT(T14,2)," ",RIGHT(U14,2)," ",RIGHT(V14,2)," ",RIGHT(W14,2)," ",RIGHT(X14,2))</f>
        <v/>
      </c>
    </row>
    <row r="15">
      <c r="A15" s="222" t="n"/>
      <c r="B15" s="223" t="n"/>
      <c r="C15" s="159" t="inlineStr">
        <is>
          <t>Set - Maximum Interval Time 360s</t>
        </is>
      </c>
      <c r="D15" s="160" t="inlineStr">
        <is>
          <t>55 43 49 12 00 10 02 42 00 02 68 01 00 00 00 00 00 00 00 00 00 20 96</t>
        </is>
      </c>
      <c r="E15" s="161" t="inlineStr">
        <is>
          <t>Configuration Value: Para1[2], Para1[1] 0x68 0x01 indicates 360s</t>
        </is>
      </c>
      <c r="F15" s="191" t="n"/>
      <c r="G15" s="192" t="inlineStr">
        <is>
          <t>0x10</t>
        </is>
      </c>
      <c r="H15" s="178" t="inlineStr">
        <is>
          <t>0x02</t>
        </is>
      </c>
      <c r="I15" s="178" t="inlineStr">
        <is>
          <t>0x42</t>
        </is>
      </c>
      <c r="J15" s="178" t="inlineStr">
        <is>
          <t>0x00</t>
        </is>
      </c>
      <c r="K15" s="178" t="inlineStr">
        <is>
          <t>0x02</t>
        </is>
      </c>
      <c r="L15" s="130" t="inlineStr">
        <is>
          <t>0x68</t>
        </is>
      </c>
      <c r="M15" s="130" t="inlineStr">
        <is>
          <t>0x01</t>
        </is>
      </c>
      <c r="N15" s="178" t="inlineStr">
        <is>
          <t>0x00</t>
        </is>
      </c>
      <c r="O15" s="178" t="inlineStr">
        <is>
          <t>0x00</t>
        </is>
      </c>
      <c r="P15" s="178" t="inlineStr">
        <is>
          <t>0x00</t>
        </is>
      </c>
      <c r="Q15" s="178" t="inlineStr">
        <is>
          <t>0x00</t>
        </is>
      </c>
      <c r="R15" s="178" t="inlineStr">
        <is>
          <t>0x00</t>
        </is>
      </c>
      <c r="S15" s="178" t="inlineStr">
        <is>
          <t>0x00</t>
        </is>
      </c>
      <c r="T15" s="178" t="inlineStr">
        <is>
          <t>0x00</t>
        </is>
      </c>
      <c r="U15" s="178" t="inlineStr">
        <is>
          <t>0x00</t>
        </is>
      </c>
      <c r="V15" s="178" t="inlineStr">
        <is>
          <t>0x00</t>
        </is>
      </c>
      <c r="W15" s="180">
        <f>"0x"&amp;MID(D15,64,2)</f>
        <v/>
      </c>
      <c r="X15" s="180">
        <f>"0x"&amp;MID(D15,67,2)</f>
        <v/>
      </c>
      <c r="Y15" s="182">
        <f>CONCATENATE(RIGHT(G15,2)," ",RIGHT(H15,2)," ",RIGHT(I15,2)," ",RIGHT(J15,2)," ",RIGHT(K15,2)," ",RIGHT(L15,2)," ",RIGHT(M15,2)," ",RIGHT(N15,2)," ",RIGHT(O15,2)," ",RIGHT(P15,2)," ",RIGHT(Q15,2)," ",RIGHT(R15,2)," ",RIGHT(S15,2)," ",RIGHT(T15,2)," ",RIGHT(U15,2)," ",RIGHT(V15,2)," ",RIGHT(W15,2)," ",RIGHT(X15,2))</f>
        <v/>
      </c>
    </row>
    <row r="16">
      <c r="A16" s="222" t="n"/>
      <c r="B16" s="223" t="n"/>
      <c r="C16" s="159" t="inlineStr">
        <is>
          <t>Get - Temperature</t>
        </is>
      </c>
      <c r="D16" s="160" t="inlineStr">
        <is>
          <t>55 43 49 12 00 10 02 82 00 00 01 00 00 00 00 00 00 02 00 00 00 4E FA</t>
        </is>
      </c>
      <c r="E16" s="161" t="inlineStr">
        <is>
          <t>BE AA 03 00 00 5A 00 70 A8 EB AA: Indicates 0x005A=90. Approximately 90/32=2.81 degrees</t>
        </is>
      </c>
      <c r="F16" s="191" t="n"/>
      <c r="G16" s="192" t="inlineStr">
        <is>
          <t>0x10</t>
        </is>
      </c>
      <c r="H16" s="178" t="inlineStr">
        <is>
          <t>0x02</t>
        </is>
      </c>
      <c r="I16" s="178" t="inlineStr">
        <is>
          <t>0x82</t>
        </is>
      </c>
      <c r="J16" s="178" t="inlineStr">
        <is>
          <t>0x00</t>
        </is>
      </c>
      <c r="K16" s="178" t="inlineStr">
        <is>
          <t>0x00</t>
        </is>
      </c>
      <c r="L16" s="178" t="inlineStr">
        <is>
          <t>0x01</t>
        </is>
      </c>
      <c r="M16" s="178" t="inlineStr">
        <is>
          <t>0x00</t>
        </is>
      </c>
      <c r="N16" s="178" t="inlineStr">
        <is>
          <t>0x00</t>
        </is>
      </c>
      <c r="O16" s="178" t="inlineStr">
        <is>
          <t>0x00</t>
        </is>
      </c>
      <c r="P16" s="178" t="inlineStr">
        <is>
          <t>0x00</t>
        </is>
      </c>
      <c r="Q16" s="178" t="inlineStr">
        <is>
          <t>0x00</t>
        </is>
      </c>
      <c r="R16" s="178" t="inlineStr">
        <is>
          <t>0x00</t>
        </is>
      </c>
      <c r="S16" s="178" t="inlineStr">
        <is>
          <t>0x02</t>
        </is>
      </c>
      <c r="T16" s="178" t="inlineStr">
        <is>
          <t>0x00</t>
        </is>
      </c>
      <c r="U16" s="178" t="inlineStr">
        <is>
          <t>0x00</t>
        </is>
      </c>
      <c r="V16" s="178" t="inlineStr">
        <is>
          <t>0x00</t>
        </is>
      </c>
      <c r="W16" s="180">
        <f>"0x"&amp;MID(D16,64,2)</f>
        <v/>
      </c>
      <c r="X16" s="180">
        <f>"0x"&amp;MID(D16,67,2)</f>
        <v/>
      </c>
      <c r="Y16" s="182">
        <f>CONCATENATE(RIGHT(G16,2)," ",RIGHT(H16,2)," ",RIGHT(I16,2)," ",RIGHT(J16,2)," ",RIGHT(K16,2)," ",RIGHT(L16,2)," ",RIGHT(M16,2)," ",RIGHT(N16,2)," ",RIGHT(O16,2)," ",RIGHT(P16,2)," ",RIGHT(Q16,2)," ",RIGHT(R16,2)," ",RIGHT(S16,2)," ",RIGHT(T16,2)," ",RIGHT(U16,2)," ",RIGHT(V16,2)," ",RIGHT(W16,2)," ",RIGHT(X16,2))</f>
        <v/>
      </c>
    </row>
    <row r="17">
      <c r="A17" s="222" t="n"/>
      <c r="B17" s="223" t="n"/>
      <c r="C17" s="160" t="inlineStr">
        <is>
          <t>Get - Minimum Interval Time</t>
        </is>
      </c>
      <c r="D17" s="160" t="inlineStr">
        <is>
          <t>55 43 49 12 00 10 02 82 00 01 01 00 00 00 00 00 00 02 00 00 00 3B F9</t>
        </is>
      </c>
      <c r="E17" s="161" t="inlineStr">
        <is>
          <t>BE AA 03 00 00 05 00 F1 B6 EB AA: Indicates 0x0005=5s</t>
        </is>
      </c>
      <c r="F17" s="191" t="n"/>
      <c r="G17" s="192" t="inlineStr">
        <is>
          <t>0x10</t>
        </is>
      </c>
      <c r="H17" s="178" t="inlineStr">
        <is>
          <t>0x02</t>
        </is>
      </c>
      <c r="I17" s="178" t="inlineStr">
        <is>
          <t>0x82</t>
        </is>
      </c>
      <c r="J17" s="178" t="inlineStr">
        <is>
          <t>0x00</t>
        </is>
      </c>
      <c r="K17" s="178" t="inlineStr">
        <is>
          <t>0x01</t>
        </is>
      </c>
      <c r="L17" s="178" t="inlineStr">
        <is>
          <t>0x01</t>
        </is>
      </c>
      <c r="M17" s="178" t="inlineStr">
        <is>
          <t>0x00</t>
        </is>
      </c>
      <c r="N17" s="178" t="inlineStr">
        <is>
          <t>0x00</t>
        </is>
      </c>
      <c r="O17" s="178" t="inlineStr">
        <is>
          <t>0x00</t>
        </is>
      </c>
      <c r="P17" s="178" t="inlineStr">
        <is>
          <t>0x00</t>
        </is>
      </c>
      <c r="Q17" s="178" t="inlineStr">
        <is>
          <t>0x00</t>
        </is>
      </c>
      <c r="R17" s="178" t="inlineStr">
        <is>
          <t>0x00</t>
        </is>
      </c>
      <c r="S17" s="178" t="inlineStr">
        <is>
          <t>0x02</t>
        </is>
      </c>
      <c r="T17" s="178" t="inlineStr">
        <is>
          <t>0x00</t>
        </is>
      </c>
      <c r="U17" s="178" t="inlineStr">
        <is>
          <t>0x00</t>
        </is>
      </c>
      <c r="V17" s="178" t="inlineStr">
        <is>
          <t>0x00</t>
        </is>
      </c>
      <c r="W17" s="180">
        <f>"0x"&amp;MID(D17,64,2)</f>
        <v/>
      </c>
      <c r="X17" s="180">
        <f>"0x"&amp;MID(D17,67,2)</f>
        <v/>
      </c>
      <c r="Y17" s="182">
        <f>CONCATENATE(RIGHT(G17,2)," ",RIGHT(H17,2)," ",RIGHT(I17,2)," ",RIGHT(J17,2)," ",RIGHT(K17,2)," ",RIGHT(L17,2)," ",RIGHT(M17,2)," ",RIGHT(N17,2)," ",RIGHT(O17,2)," ",RIGHT(P17,2)," ",RIGHT(Q17,2)," ",RIGHT(R17,2)," ",RIGHT(S17,2)," ",RIGHT(T17,2)," ",RIGHT(U17,2)," ",RIGHT(V17,2)," ",RIGHT(W17,2)," ",RIGHT(X17,2))</f>
        <v/>
      </c>
    </row>
    <row r="18" ht="15" customHeight="1" s="17">
      <c r="A18" s="227" t="n"/>
      <c r="B18" s="228" t="n"/>
      <c r="C18" s="174" t="inlineStr">
        <is>
          <t>Get - Maximum Interval Time</t>
        </is>
      </c>
      <c r="D18" s="174" t="inlineStr">
        <is>
          <t>55 43 49 12 00 10 02 82 00 02 01 00 00 00 00 00 00 02 00 00 00 A4 FC</t>
        </is>
      </c>
      <c r="E18" s="168" t="inlineStr">
        <is>
          <t>BE AA 03 00 00 2C 01 AE 1A EB AA: Indicates 0x012C=300s</t>
        </is>
      </c>
      <c r="F18" s="191" t="n"/>
      <c r="G18" s="192" t="inlineStr">
        <is>
          <t>0x10</t>
        </is>
      </c>
      <c r="H18" s="178" t="inlineStr">
        <is>
          <t>0x02</t>
        </is>
      </c>
      <c r="I18" s="178" t="inlineStr">
        <is>
          <t>0x82</t>
        </is>
      </c>
      <c r="J18" s="178" t="inlineStr">
        <is>
          <t>0x00</t>
        </is>
      </c>
      <c r="K18" s="178" t="inlineStr">
        <is>
          <t>0x02</t>
        </is>
      </c>
      <c r="L18" s="178" t="inlineStr">
        <is>
          <t>0x01</t>
        </is>
      </c>
      <c r="M18" s="178" t="inlineStr">
        <is>
          <t>0x00</t>
        </is>
      </c>
      <c r="N18" s="178" t="inlineStr">
        <is>
          <t>0x00</t>
        </is>
      </c>
      <c r="O18" s="178" t="inlineStr">
        <is>
          <t>0x00</t>
        </is>
      </c>
      <c r="P18" s="178" t="inlineStr">
        <is>
          <t>0x00</t>
        </is>
      </c>
      <c r="Q18" s="178" t="inlineStr">
        <is>
          <t>0x00</t>
        </is>
      </c>
      <c r="R18" s="178" t="inlineStr">
        <is>
          <t>0x00</t>
        </is>
      </c>
      <c r="S18" s="178" t="inlineStr">
        <is>
          <t>0x02</t>
        </is>
      </c>
      <c r="T18" s="178" t="inlineStr">
        <is>
          <t>0x00</t>
        </is>
      </c>
      <c r="U18" s="178" t="inlineStr">
        <is>
          <t>0x00</t>
        </is>
      </c>
      <c r="V18" s="178" t="inlineStr">
        <is>
          <t>0x00</t>
        </is>
      </c>
      <c r="W18" s="180">
        <f>"0x"&amp;MID(D18,64,2)</f>
        <v/>
      </c>
      <c r="X18" s="180">
        <f>"0x"&amp;MID(D18,67,2)</f>
        <v/>
      </c>
      <c r="Y18" s="182">
        <f>CONCATENATE(RIGHT(G18,2)," ",RIGHT(H18,2)," ",RIGHT(I18,2)," ",RIGHT(J18,2)," ",RIGHT(K18,2)," ",RIGHT(L18,2)," ",RIGHT(M18,2)," ",RIGHT(N18,2)," ",RIGHT(O18,2)," ",RIGHT(P18,2)," ",RIGHT(Q18,2)," ",RIGHT(R18,2)," ",RIGHT(S18,2)," ",RIGHT(T18,2)," ",RIGHT(U18,2)," ",RIGHT(V18,2)," ",RIGHT(W18,2)," ",RIGHT(X18,2))</f>
        <v/>
      </c>
    </row>
    <row r="19">
      <c r="A19" s="169" t="inlineStr">
        <is>
          <t>Calibration Related Instructions</t>
        </is>
      </c>
      <c r="B19" s="186" t="inlineStr">
        <is>
          <t>K value</t>
        </is>
      </c>
      <c r="C19" s="186" t="inlineStr">
        <is>
          <t>Calibration K value - Collect Low Temperature First</t>
        </is>
      </c>
      <c r="D19" s="186" t="inlineStr">
        <is>
          <t>55 43 49 12 00 10 11 41 00 00 00 00 00 00 00 00 00 00 00 00 00 A2 93</t>
        </is>
      </c>
      <c r="E19" s="187" t="inlineStr">
        <is>
          <t>Calibration Step 1: Align with low temperature blackbody, blackbody temperature at 25℃ or below, the screen flashes to complete</t>
        </is>
      </c>
      <c r="F19" s="191" t="n"/>
      <c r="G19" s="192" t="inlineStr">
        <is>
          <t>0x10</t>
        </is>
      </c>
      <c r="H19" s="178" t="inlineStr">
        <is>
          <t>0x11</t>
        </is>
      </c>
      <c r="I19" s="178" t="inlineStr">
        <is>
          <t>0x41</t>
        </is>
      </c>
      <c r="J19" s="178" t="inlineStr">
        <is>
          <t>0x00</t>
        </is>
      </c>
      <c r="K19" s="178" t="inlineStr">
        <is>
          <t>0x00</t>
        </is>
      </c>
      <c r="L19" s="178" t="inlineStr">
        <is>
          <t>0x00</t>
        </is>
      </c>
      <c r="M19" s="178" t="inlineStr">
        <is>
          <t>0x00</t>
        </is>
      </c>
      <c r="N19" s="178" t="inlineStr">
        <is>
          <t>0x00</t>
        </is>
      </c>
      <c r="O19" s="178" t="inlineStr">
        <is>
          <t>0x00</t>
        </is>
      </c>
      <c r="P19" s="178" t="inlineStr">
        <is>
          <t>0x00</t>
        </is>
      </c>
      <c r="Q19" s="178" t="inlineStr">
        <is>
          <t>0x00</t>
        </is>
      </c>
      <c r="R19" s="178" t="inlineStr">
        <is>
          <t>0x00</t>
        </is>
      </c>
      <c r="S19" s="178" t="inlineStr">
        <is>
          <t>0x00</t>
        </is>
      </c>
      <c r="T19" s="178" t="inlineStr">
        <is>
          <t>0x00</t>
        </is>
      </c>
      <c r="U19" s="178" t="inlineStr">
        <is>
          <t>0x00</t>
        </is>
      </c>
      <c r="V19" s="178" t="inlineStr">
        <is>
          <t>0x00</t>
        </is>
      </c>
      <c r="W19" s="180">
        <f>"0x"&amp;MID(D19,64,2)</f>
        <v/>
      </c>
      <c r="X19" s="180">
        <f>"0x"&amp;MID(D19,67,2)</f>
        <v/>
      </c>
      <c r="Y19" s="182">
        <f>CONCATENATE(RIGHT(G19,2)," ",RIGHT(H19,2)," ",RIGHT(I19,2)," ",RIGHT(J19,2)," ",RIGHT(K19,2)," ",RIGHT(L19,2)," ",RIGHT(M19,2)," ",RIGHT(N19,2)," ",RIGHT(O19,2)," ",RIGHT(P19,2)," ",RIGHT(Q19,2)," ",RIGHT(R19,2)," ",RIGHT(S19,2)," ",RIGHT(T19,2)," ",RIGHT(U19,2)," ",RIGHT(V19,2)," ",RIGHT(W19,2)," ",RIGHT(X19,2))</f>
        <v/>
      </c>
    </row>
    <row r="20">
      <c r="A20" s="222" t="n"/>
      <c r="B20" s="223" t="n"/>
      <c r="C20" s="160" t="inlineStr">
        <is>
          <t>Calibration K value - Then Collect High Temperature</t>
        </is>
      </c>
      <c r="D20" s="160" t="inlineStr">
        <is>
          <t>55 43 49 12 00 10 11 41 00 01 00 00 00 00 00 00 00 00 00 00 00 D7 90</t>
        </is>
      </c>
      <c r="E20" s="161" t="inlineStr">
        <is>
          <t>Calibration Step 2: Align with high temperature blackbody, blackbody temperature at 60℃ or above, the screen flashes to complete</t>
        </is>
      </c>
      <c r="F20" s="191" t="n"/>
      <c r="G20" s="192" t="inlineStr">
        <is>
          <t>0x10</t>
        </is>
      </c>
      <c r="H20" s="178" t="inlineStr">
        <is>
          <t>0x11</t>
        </is>
      </c>
      <c r="I20" s="178" t="inlineStr">
        <is>
          <t>0x41</t>
        </is>
      </c>
      <c r="J20" s="178" t="inlineStr">
        <is>
          <t>0x00</t>
        </is>
      </c>
      <c r="K20" s="178" t="inlineStr">
        <is>
          <t>0x01</t>
        </is>
      </c>
      <c r="L20" s="178" t="inlineStr">
        <is>
          <t>0x00</t>
        </is>
      </c>
      <c r="M20" s="178" t="inlineStr">
        <is>
          <t>0x00</t>
        </is>
      </c>
      <c r="N20" s="178" t="inlineStr">
        <is>
          <t>0x00</t>
        </is>
      </c>
      <c r="O20" s="178" t="inlineStr">
        <is>
          <t>0x00</t>
        </is>
      </c>
      <c r="P20" s="178" t="inlineStr">
        <is>
          <t>0x00</t>
        </is>
      </c>
      <c r="Q20" s="178" t="inlineStr">
        <is>
          <t>0x00</t>
        </is>
      </c>
      <c r="R20" s="178" t="inlineStr">
        <is>
          <t>0x00</t>
        </is>
      </c>
      <c r="S20" s="178" t="inlineStr">
        <is>
          <t>0x00</t>
        </is>
      </c>
      <c r="T20" s="178" t="inlineStr">
        <is>
          <t>0x00</t>
        </is>
      </c>
      <c r="U20" s="178" t="inlineStr">
        <is>
          <t>0x00</t>
        </is>
      </c>
      <c r="V20" s="178" t="inlineStr">
        <is>
          <t>0x00</t>
        </is>
      </c>
      <c r="W20" s="180">
        <f>"0x"&amp;MID(D20,64,2)</f>
        <v/>
      </c>
      <c r="X20" s="180">
        <f>"0x"&amp;MID(D20,67,2)</f>
        <v/>
      </c>
      <c r="Y20" s="182">
        <f>CONCATENATE(RIGHT(G20,2)," ",RIGHT(H20,2)," ",RIGHT(I20,2)," ",RIGHT(J20,2)," ",RIGHT(K20,2)," ",RIGHT(L20,2)," ",RIGHT(M20,2)," ",RIGHT(N20,2)," ",RIGHT(O20,2)," ",RIGHT(P20,2)," ",RIGHT(Q20,2)," ",RIGHT(R20,2)," ",RIGHT(S20,2)," ",RIGHT(T20,2)," ",RIGHT(U20,2)," ",RIGHT(V20,2)," ",RIGHT(W20,2)," ",RIGHT(X20,2))</f>
        <v/>
      </c>
    </row>
    <row r="21">
      <c r="A21" s="222" t="n"/>
      <c r="B21" s="223" t="n"/>
      <c r="C21" s="160" t="inlineStr">
        <is>
          <t>Calibration K value - Collect and Calculate</t>
        </is>
      </c>
      <c r="D21" s="160" t="inlineStr">
        <is>
          <t>55 43 49 12 00 10 11 41 00 02 00 00 00 00 00 00 00 00 00 00 00 48 95</t>
        </is>
      </c>
      <c r="E21" s="161" t="inlineStr">
        <is>
          <t>Calibration Step 3: Perform calculation, after completion, check calibration effect</t>
        </is>
      </c>
      <c r="F21" s="191" t="n"/>
      <c r="G21" s="192" t="inlineStr">
        <is>
          <t>0x10</t>
        </is>
      </c>
      <c r="H21" s="178" t="inlineStr">
        <is>
          <t>0x11</t>
        </is>
      </c>
      <c r="I21" s="178" t="inlineStr">
        <is>
          <t>0x41</t>
        </is>
      </c>
      <c r="J21" s="178" t="inlineStr">
        <is>
          <t>0x00</t>
        </is>
      </c>
      <c r="K21" s="178" t="inlineStr">
        <is>
          <t>0x02</t>
        </is>
      </c>
      <c r="L21" s="178" t="inlineStr">
        <is>
          <t>0x00</t>
        </is>
      </c>
      <c r="M21" s="178" t="inlineStr">
        <is>
          <t>0x00</t>
        </is>
      </c>
      <c r="N21" s="178" t="inlineStr">
        <is>
          <t>0x00</t>
        </is>
      </c>
      <c r="O21" s="178" t="inlineStr">
        <is>
          <t>0x00</t>
        </is>
      </c>
      <c r="P21" s="178" t="inlineStr">
        <is>
          <t>0x00</t>
        </is>
      </c>
      <c r="Q21" s="178" t="inlineStr">
        <is>
          <t>0x00</t>
        </is>
      </c>
      <c r="R21" s="178" t="inlineStr">
        <is>
          <t>0x00</t>
        </is>
      </c>
      <c r="S21" s="178" t="inlineStr">
        <is>
          <t>0x00</t>
        </is>
      </c>
      <c r="T21" s="178" t="inlineStr">
        <is>
          <t>0x00</t>
        </is>
      </c>
      <c r="U21" s="178" t="inlineStr">
        <is>
          <t>0x00</t>
        </is>
      </c>
      <c r="V21" s="178" t="inlineStr">
        <is>
          <t>0x00</t>
        </is>
      </c>
      <c r="W21" s="180">
        <f>"0x"&amp;MID(D21,64,2)</f>
        <v/>
      </c>
      <c r="X21" s="180">
        <f>"0x"&amp;MID(D21,67,2)</f>
        <v/>
      </c>
      <c r="Y21" s="182">
        <f>CONCATENATE(RIGHT(G21,2)," ",RIGHT(H21,2)," ",RIGHT(I21,2)," ",RIGHT(J21,2)," ",RIGHT(K21,2)," ",RIGHT(L21,2)," ",RIGHT(M21,2)," ",RIGHT(N21,2)," ",RIGHT(O21,2)," ",RIGHT(P21,2)," ",RIGHT(Q21,2)," ",RIGHT(R21,2)," ",RIGHT(S21,2)," ",RIGHT(T21,2)," ",RIGHT(U21,2)," ",RIGHT(V21,2)," ",RIGHT(W21,2)," ",RIGHT(X21,2))</f>
        <v/>
      </c>
    </row>
    <row r="22">
      <c r="A22" s="222" t="n"/>
      <c r="B22" s="223" t="n"/>
      <c r="C22" s="160" t="inlineStr">
        <is>
          <t>Save K value</t>
        </is>
      </c>
      <c r="D22" s="160" t="inlineStr">
        <is>
          <t>55 43 49 12 00 10 11 43 00 00 00 00 00 00 00 00 00 00 00 00 00 60 65</t>
        </is>
      </c>
      <c r="E22" s="161" t="inlineStr">
        <is>
          <t>Calibration Step 4: If the effect is OK, perform the save operation</t>
        </is>
      </c>
      <c r="F22" s="191" t="n"/>
      <c r="G22" s="192" t="inlineStr">
        <is>
          <t>0x10</t>
        </is>
      </c>
      <c r="H22" s="178" t="inlineStr">
        <is>
          <t>0x11</t>
        </is>
      </c>
      <c r="I22" s="178" t="inlineStr">
        <is>
          <t>0x43</t>
        </is>
      </c>
      <c r="J22" s="178" t="inlineStr">
        <is>
          <t>0x00</t>
        </is>
      </c>
      <c r="K22" s="178" t="inlineStr">
        <is>
          <t>0x00</t>
        </is>
      </c>
      <c r="L22" s="178" t="inlineStr">
        <is>
          <t>0x00</t>
        </is>
      </c>
      <c r="M22" s="178" t="inlineStr">
        <is>
          <t>0x00</t>
        </is>
      </c>
      <c r="N22" s="178" t="inlineStr">
        <is>
          <t>0x00</t>
        </is>
      </c>
      <c r="O22" s="178" t="inlineStr">
        <is>
          <t>0x00</t>
        </is>
      </c>
      <c r="P22" s="178" t="inlineStr">
        <is>
          <t>0x00</t>
        </is>
      </c>
      <c r="Q22" s="178" t="inlineStr">
        <is>
          <t>0x00</t>
        </is>
      </c>
      <c r="R22" s="178" t="inlineStr">
        <is>
          <t>0x00</t>
        </is>
      </c>
      <c r="S22" s="178" t="inlineStr">
        <is>
          <t>0x00</t>
        </is>
      </c>
      <c r="T22" s="178" t="inlineStr">
        <is>
          <t>0x00</t>
        </is>
      </c>
      <c r="U22" s="178" t="inlineStr">
        <is>
          <t>0x00</t>
        </is>
      </c>
      <c r="V22" s="178" t="inlineStr">
        <is>
          <t>0x00</t>
        </is>
      </c>
      <c r="W22" s="180">
        <f>"0x"&amp;MID(D22,64,2)</f>
        <v/>
      </c>
      <c r="X22" s="180">
        <f>"0x"&amp;MID(D22,67,2)</f>
        <v/>
      </c>
      <c r="Y22" s="182">
        <f>CONCATENATE(RIGHT(G22,2)," ",RIGHT(H22,2)," ",RIGHT(I22,2)," ",RIGHT(J22,2)," ",RIGHT(K22,2)," ",RIGHT(L22,2)," ",RIGHT(M22,2)," ",RIGHT(N22,2)," ",RIGHT(O22,2)," ",RIGHT(P22,2)," ",RIGHT(Q22,2)," ",RIGHT(R22,2)," ",RIGHT(S22,2)," ",RIGHT(T22,2)," ",RIGHT(U22,2)," ",RIGHT(V22,2)," ",RIGHT(W22,2)," ",RIGHT(X22,2))</f>
        <v/>
      </c>
    </row>
    <row r="23">
      <c r="A23" s="222" t="n"/>
      <c r="B23" s="223" t="n"/>
      <c r="C23" s="160" t="inlineStr">
        <is>
          <t>Cancel Calibration Result</t>
        </is>
      </c>
      <c r="D23" s="160" t="inlineStr">
        <is>
          <t>55 43 49 12 00 10 11 42 00 00 00 00 00 00 00 00 00 00 00 00 00 01 1E</t>
        </is>
      </c>
      <c r="E23" s="161" t="inlineStr">
        <is>
          <t>If the effect is not OK, cancel the calibration, i.e., revert to the state before calibration</t>
        </is>
      </c>
      <c r="F23" s="191" t="n"/>
      <c r="G23" s="192" t="inlineStr">
        <is>
          <t>0x10</t>
        </is>
      </c>
      <c r="H23" s="178" t="inlineStr">
        <is>
          <t>0x11</t>
        </is>
      </c>
      <c r="I23" s="178" t="inlineStr">
        <is>
          <t>0x42</t>
        </is>
      </c>
      <c r="J23" s="178" t="inlineStr">
        <is>
          <t>0x00</t>
        </is>
      </c>
      <c r="K23" s="178" t="inlineStr">
        <is>
          <t>0x00</t>
        </is>
      </c>
      <c r="L23" s="178" t="inlineStr">
        <is>
          <t>0x00</t>
        </is>
      </c>
      <c r="M23" s="178" t="inlineStr">
        <is>
          <t>0x00</t>
        </is>
      </c>
      <c r="N23" s="178" t="inlineStr">
        <is>
          <t>0x00</t>
        </is>
      </c>
      <c r="O23" s="178" t="inlineStr">
        <is>
          <t>0x00</t>
        </is>
      </c>
      <c r="P23" s="178" t="inlineStr">
        <is>
          <t>0x00</t>
        </is>
      </c>
      <c r="Q23" s="178" t="inlineStr">
        <is>
          <t>0x00</t>
        </is>
      </c>
      <c r="R23" s="178" t="inlineStr">
        <is>
          <t>0x00</t>
        </is>
      </c>
      <c r="S23" s="178" t="inlineStr">
        <is>
          <t>0x00</t>
        </is>
      </c>
      <c r="T23" s="178" t="inlineStr">
        <is>
          <t>0x00</t>
        </is>
      </c>
      <c r="U23" s="178" t="inlineStr">
        <is>
          <t>0x00</t>
        </is>
      </c>
      <c r="V23" s="178" t="inlineStr">
        <is>
          <t>0x00</t>
        </is>
      </c>
      <c r="W23" s="180">
        <f>"0x"&amp;MID(D23,64,2)</f>
        <v/>
      </c>
      <c r="X23" s="180">
        <f>"0x"&amp;MID(D23,67,2)</f>
        <v/>
      </c>
      <c r="Y23" s="182">
        <f>CONCATENATE(RIGHT(G23,2)," ",RIGHT(H23,2)," ",RIGHT(I23,2)," ",RIGHT(J23,2)," ",RIGHT(K23,2)," ",RIGHT(L23,2)," ",RIGHT(M23,2)," ",RIGHT(N23,2)," ",RIGHT(O23,2)," ",RIGHT(P23,2)," ",RIGHT(Q23,2)," ",RIGHT(R23,2)," ",RIGHT(S23,2)," ",RIGHT(T23,2)," ",RIGHT(U23,2)," ",RIGHT(V23,2)," ",RIGHT(W23,2)," ",RIGHT(X23,2))</f>
        <v/>
      </c>
    </row>
    <row r="24">
      <c r="A24" s="222" t="n"/>
      <c r="B24" s="223" t="n"/>
      <c r="C24" s="160" t="inlineStr">
        <is>
          <t>Clear K value</t>
        </is>
      </c>
      <c r="D24" s="160" t="inlineStr">
        <is>
          <t>55 43 49 12 00 10 11 44 00 00 00 00 00 00 00 00 00 00 00 00 00 66 15</t>
        </is>
      </c>
      <c r="E24" s="161" t="inlineStr">
        <is>
          <t>Used to test the effect of having no K value calibration at all</t>
        </is>
      </c>
      <c r="F24" s="191" t="n"/>
      <c r="G24" s="192" t="inlineStr">
        <is>
          <t>0x10</t>
        </is>
      </c>
      <c r="H24" s="178" t="inlineStr">
        <is>
          <t>0x11</t>
        </is>
      </c>
      <c r="I24" s="178" t="inlineStr">
        <is>
          <t>0x44</t>
        </is>
      </c>
      <c r="J24" s="178" t="inlineStr">
        <is>
          <t>0x00</t>
        </is>
      </c>
      <c r="K24" s="178" t="inlineStr">
        <is>
          <t>0x00</t>
        </is>
      </c>
      <c r="L24" s="178" t="inlineStr">
        <is>
          <t>0x00</t>
        </is>
      </c>
      <c r="M24" s="178" t="inlineStr">
        <is>
          <t>0x00</t>
        </is>
      </c>
      <c r="N24" s="178" t="inlineStr">
        <is>
          <t>0x00</t>
        </is>
      </c>
      <c r="O24" s="178" t="inlineStr">
        <is>
          <t>0x00</t>
        </is>
      </c>
      <c r="P24" s="178" t="inlineStr">
        <is>
          <t>0x00</t>
        </is>
      </c>
      <c r="Q24" s="178" t="inlineStr">
        <is>
          <t>0x00</t>
        </is>
      </c>
      <c r="R24" s="178" t="inlineStr">
        <is>
          <t>0x00</t>
        </is>
      </c>
      <c r="S24" s="178" t="inlineStr">
        <is>
          <t>0x00</t>
        </is>
      </c>
      <c r="T24" s="178" t="inlineStr">
        <is>
          <t>0x00</t>
        </is>
      </c>
      <c r="U24" s="178" t="inlineStr">
        <is>
          <t>0x00</t>
        </is>
      </c>
      <c r="V24" s="178" t="inlineStr">
        <is>
          <t>0x00</t>
        </is>
      </c>
      <c r="W24" s="180">
        <f>"0x"&amp;MID(D24,64,2)</f>
        <v/>
      </c>
      <c r="X24" s="180">
        <f>"0x"&amp;MID(D24,67,2)</f>
        <v/>
      </c>
      <c r="Y24" s="182">
        <f>CONCATENATE(RIGHT(G24,2)," ",RIGHT(H24,2)," ",RIGHT(I24,2)," ",RIGHT(J24,2)," ",RIGHT(K24,2)," ",RIGHT(L24,2)," ",RIGHT(M24,2)," ",RIGHT(N24,2)," ",RIGHT(O24,2)," ",RIGHT(P24,2)," ",RIGHT(Q24,2)," ",RIGHT(R24,2)," ",RIGHT(S24,2)," ",RIGHT(T24,2)," ",RIGHT(U24,2)," ",RIGHT(V24,2)," ",RIGHT(W24,2)," ",RIGHT(X24,2))</f>
        <v/>
      </c>
    </row>
    <row r="25">
      <c r="A25" s="222" t="n"/>
      <c r="B25" s="225" t="n"/>
      <c r="C25" s="160" t="inlineStr">
        <is>
          <t>Restore Factory K value Data</t>
        </is>
      </c>
      <c r="D25" s="160" t="inlineStr">
        <is>
          <t>55 43 49 12 00 10 11 45 00 00 00 00 00 00 00 00 00 00 00 00 00 07 6E</t>
        </is>
      </c>
      <c r="E25" s="161" t="inlineStr">
        <is>
          <t>After restoring factory data, it is saved</t>
        </is>
      </c>
      <c r="F25" s="191" t="n"/>
      <c r="G25" s="192" t="inlineStr">
        <is>
          <t>0x10</t>
        </is>
      </c>
      <c r="H25" s="178" t="inlineStr">
        <is>
          <t>0x11</t>
        </is>
      </c>
      <c r="I25" s="178" t="inlineStr">
        <is>
          <t>0x45</t>
        </is>
      </c>
      <c r="J25" s="178" t="inlineStr">
        <is>
          <t>0x00</t>
        </is>
      </c>
      <c r="K25" s="178" t="inlineStr">
        <is>
          <t>0x00</t>
        </is>
      </c>
      <c r="L25" s="178" t="inlineStr">
        <is>
          <t>0x00</t>
        </is>
      </c>
      <c r="M25" s="178" t="inlineStr">
        <is>
          <t>0x00</t>
        </is>
      </c>
      <c r="N25" s="178" t="inlineStr">
        <is>
          <t>0x00</t>
        </is>
      </c>
      <c r="O25" s="178" t="inlineStr">
        <is>
          <t>0x00</t>
        </is>
      </c>
      <c r="P25" s="178" t="inlineStr">
        <is>
          <t>0x00</t>
        </is>
      </c>
      <c r="Q25" s="178" t="inlineStr">
        <is>
          <t>0x00</t>
        </is>
      </c>
      <c r="R25" s="178" t="inlineStr">
        <is>
          <t>0x00</t>
        </is>
      </c>
      <c r="S25" s="178" t="inlineStr">
        <is>
          <t>0x00</t>
        </is>
      </c>
      <c r="T25" s="178" t="inlineStr">
        <is>
          <t>0x00</t>
        </is>
      </c>
      <c r="U25" s="178" t="inlineStr">
        <is>
          <t>0x00</t>
        </is>
      </c>
      <c r="V25" s="178" t="inlineStr">
        <is>
          <t>0x00</t>
        </is>
      </c>
      <c r="W25" s="180">
        <f>"0x"&amp;MID(D25,64,2)</f>
        <v/>
      </c>
      <c r="X25" s="180">
        <f>"0x"&amp;MID(D25,67,2)</f>
        <v/>
      </c>
      <c r="Y25" s="182">
        <f>CONCATENATE(RIGHT(G25,2)," ",RIGHT(H25,2)," ",RIGHT(I25,2)," ",RIGHT(J25,2)," ",RIGHT(K25,2)," ",RIGHT(L25,2)," ",RIGHT(M25,2)," ",RIGHT(N25,2)," ",RIGHT(O25,2)," ",RIGHT(P25,2)," ",RIGHT(Q25,2)," ",RIGHT(R25,2)," ",RIGHT(S25,2)," ",RIGHT(T25,2)," ",RIGHT(U25,2)," ",RIGHT(V25,2)," ",RIGHT(W25,2)," ",RIGHT(X25,2))</f>
        <v/>
      </c>
    </row>
    <row r="26">
      <c r="A26" s="222" t="n"/>
      <c r="B26" s="160" t="inlineStr">
        <is>
          <t>Dead Pixel</t>
        </is>
      </c>
      <c r="C26" s="160" t="inlineStr">
        <is>
          <t>Automatic Dead Pixel Calibration</t>
        </is>
      </c>
      <c r="D26" s="160" t="inlineStr">
        <is>
          <t>55 43 49 12 00 10 11 51 00 00 00 00 00 00 00 00 00 00 00 00 00 55 55</t>
        </is>
      </c>
      <c r="E26" s="161" t="n"/>
      <c r="F26" s="191" t="n"/>
      <c r="G26" s="192" t="inlineStr">
        <is>
          <t>0x10</t>
        </is>
      </c>
      <c r="H26" s="178" t="inlineStr">
        <is>
          <t>0x11</t>
        </is>
      </c>
      <c r="I26" s="178" t="inlineStr">
        <is>
          <t>0x51</t>
        </is>
      </c>
      <c r="J26" s="178" t="inlineStr">
        <is>
          <t>0x00</t>
        </is>
      </c>
      <c r="K26" s="178" t="inlineStr">
        <is>
          <t>0x00</t>
        </is>
      </c>
      <c r="L26" s="178" t="inlineStr">
        <is>
          <t>0x00</t>
        </is>
      </c>
      <c r="M26" s="178" t="inlineStr">
        <is>
          <t>0x00</t>
        </is>
      </c>
      <c r="N26" s="178" t="inlineStr">
        <is>
          <t>0x00</t>
        </is>
      </c>
      <c r="O26" s="178" t="inlineStr">
        <is>
          <t>0x00</t>
        </is>
      </c>
      <c r="P26" s="178" t="inlineStr">
        <is>
          <t>0x00</t>
        </is>
      </c>
      <c r="Q26" s="178" t="inlineStr">
        <is>
          <t>0x00</t>
        </is>
      </c>
      <c r="R26" s="178" t="inlineStr">
        <is>
          <t>0x00</t>
        </is>
      </c>
      <c r="S26" s="178" t="inlineStr">
        <is>
          <t>0x00</t>
        </is>
      </c>
      <c r="T26" s="178" t="inlineStr">
        <is>
          <t>0x00</t>
        </is>
      </c>
      <c r="U26" s="178" t="inlineStr">
        <is>
          <t>0x00</t>
        </is>
      </c>
      <c r="V26" s="178" t="inlineStr">
        <is>
          <t>0x00</t>
        </is>
      </c>
      <c r="W26" s="180">
        <f>"0x"&amp;MID(D26,64,2)</f>
        <v/>
      </c>
      <c r="X26" s="180">
        <f>"0x"&amp;MID(D26,67,2)</f>
        <v/>
      </c>
      <c r="Y26" s="182">
        <f>CONCATENATE(RIGHT(G26,2)," ",RIGHT(H26,2)," ",RIGHT(I26,2)," ",RIGHT(J26,2)," ",RIGHT(K26,2)," ",RIGHT(L26,2)," ",RIGHT(M26,2)," ",RIGHT(N26,2)," ",RIGHT(O26,2)," ",RIGHT(P26,2)," ",RIGHT(Q26,2)," ",RIGHT(R26,2)," ",RIGHT(S26,2)," ",RIGHT(T26,2)," ",RIGHT(U26,2)," ",RIGHT(V26,2)," ",RIGHT(W26,2)," ",RIGHT(X26,2))</f>
        <v/>
      </c>
    </row>
    <row r="27" s="17">
      <c r="A27" s="222" t="n"/>
      <c r="B27" s="223" t="n"/>
      <c r="C27" s="160" t="inlineStr">
        <is>
          <t>Cursor Switch Setting - Enable</t>
        </is>
      </c>
      <c r="D27" s="160" t="inlineStr">
        <is>
          <t>55 43 49 12 00 10 11 57 00 01 00 00 00 00 00 00 00 00 00 00 00 47 5D</t>
        </is>
      </c>
      <c r="E27" s="193" t="n"/>
      <c r="F27" s="191" t="n"/>
      <c r="G27" s="192" t="inlineStr">
        <is>
          <t>0x10</t>
        </is>
      </c>
      <c r="H27" s="178" t="inlineStr">
        <is>
          <t>0x11</t>
        </is>
      </c>
      <c r="I27" s="177" t="inlineStr">
        <is>
          <t>0x57</t>
        </is>
      </c>
      <c r="J27" s="178" t="inlineStr">
        <is>
          <t>0x00</t>
        </is>
      </c>
      <c r="K27" s="178" t="inlineStr">
        <is>
          <t>0x01</t>
        </is>
      </c>
      <c r="L27" s="178" t="inlineStr">
        <is>
          <t>0x00</t>
        </is>
      </c>
      <c r="M27" s="178" t="inlineStr">
        <is>
          <t>0x00</t>
        </is>
      </c>
      <c r="N27" s="178" t="inlineStr">
        <is>
          <t>0x00</t>
        </is>
      </c>
      <c r="O27" s="178" t="inlineStr">
        <is>
          <t>0x00</t>
        </is>
      </c>
      <c r="P27" s="178" t="inlineStr">
        <is>
          <t>0x00</t>
        </is>
      </c>
      <c r="Q27" s="178" t="inlineStr">
        <is>
          <t>0x00</t>
        </is>
      </c>
      <c r="R27" s="178" t="inlineStr">
        <is>
          <t>0x00</t>
        </is>
      </c>
      <c r="S27" s="178" t="inlineStr">
        <is>
          <t>0x00</t>
        </is>
      </c>
      <c r="T27" s="178" t="inlineStr">
        <is>
          <t>0x00</t>
        </is>
      </c>
      <c r="U27" s="178" t="inlineStr">
        <is>
          <t>0x00</t>
        </is>
      </c>
      <c r="V27" s="178" t="inlineStr">
        <is>
          <t>0x00</t>
        </is>
      </c>
      <c r="W27" s="180">
        <f>"0x"&amp;MID(D27,64,2)</f>
        <v/>
      </c>
      <c r="X27" s="180">
        <f>"0x"&amp;MID(D27,67,2)</f>
        <v/>
      </c>
      <c r="Y27" s="182">
        <f>CONCATENATE(RIGHT(G27,2)," ",RIGHT(H27,2)," ",RIGHT(I27,2)," ",RIGHT(J27,2)," ",RIGHT(K27,2)," ",RIGHT(L27,2)," ",RIGHT(M27,2)," ",RIGHT(N27,2)," ",RIGHT(O27,2)," ",RIGHT(P27,2)," ",RIGHT(Q27,2)," ",RIGHT(R27,2)," ",RIGHT(S27,2)," ",RIGHT(T27,2)," ",RIGHT(U27,2)," ",RIGHT(V27,2)," ",RIGHT(W27,2)," ",RIGHT(X27,2))</f>
        <v/>
      </c>
    </row>
    <row r="28">
      <c r="A28" s="222" t="n"/>
      <c r="B28" s="223" t="n"/>
      <c r="C28" s="160" t="inlineStr">
        <is>
          <t>Cursor Switch Setting - Blanking</t>
        </is>
      </c>
      <c r="D28" s="160" t="inlineStr">
        <is>
          <t>55 43 49 12 00 10 11 57 00 00 00 00 00 00 00 00 00 00 00 00 00 32 5E</t>
        </is>
      </c>
      <c r="E28" s="195" t="n"/>
      <c r="F28" s="191" t="n"/>
      <c r="G28" s="192" t="inlineStr">
        <is>
          <t>0x10</t>
        </is>
      </c>
      <c r="H28" s="178" t="inlineStr">
        <is>
          <t>0x11</t>
        </is>
      </c>
      <c r="I28" s="177" t="inlineStr">
        <is>
          <t>0x57</t>
        </is>
      </c>
      <c r="J28" s="178" t="inlineStr">
        <is>
          <t>0x00</t>
        </is>
      </c>
      <c r="K28" s="178" t="inlineStr">
        <is>
          <t>0x00</t>
        </is>
      </c>
      <c r="L28" s="178" t="inlineStr">
        <is>
          <t>0x00</t>
        </is>
      </c>
      <c r="M28" s="178" t="inlineStr">
        <is>
          <t>0x00</t>
        </is>
      </c>
      <c r="N28" s="178" t="inlineStr">
        <is>
          <t>0x00</t>
        </is>
      </c>
      <c r="O28" s="178" t="inlineStr">
        <is>
          <t>0x00</t>
        </is>
      </c>
      <c r="P28" s="178" t="inlineStr">
        <is>
          <t>0x00</t>
        </is>
      </c>
      <c r="Q28" s="178" t="inlineStr">
        <is>
          <t>0x00</t>
        </is>
      </c>
      <c r="R28" s="178" t="inlineStr">
        <is>
          <t>0x00</t>
        </is>
      </c>
      <c r="S28" s="178" t="inlineStr">
        <is>
          <t>0x00</t>
        </is>
      </c>
      <c r="T28" s="178" t="inlineStr">
        <is>
          <t>0x00</t>
        </is>
      </c>
      <c r="U28" s="178" t="inlineStr">
        <is>
          <t>0x00</t>
        </is>
      </c>
      <c r="V28" s="178" t="inlineStr">
        <is>
          <t>0x00</t>
        </is>
      </c>
      <c r="W28" s="180">
        <f>"0x"&amp;MID(D28,64,2)</f>
        <v/>
      </c>
      <c r="X28" s="180">
        <f>"0x"&amp;MID(D28,67,2)</f>
        <v/>
      </c>
      <c r="Y28" s="182">
        <f>CONCATENATE(RIGHT(G28,2)," ",RIGHT(H28,2)," ",RIGHT(I28,2)," ",RIGHT(J28,2)," ",RIGHT(K28,2)," ",RIGHT(L28,2)," ",RIGHT(M28,2)," ",RIGHT(N28,2)," ",RIGHT(O28,2)," ",RIGHT(P28,2)," ",RIGHT(Q28,2)," ",RIGHT(R28,2)," ",RIGHT(S28,2)," ",RIGHT(T28,2)," ",RIGHT(U28,2)," ",RIGHT(V28,2)," ",RIGHT(W28,2)," ",RIGHT(X28,2))</f>
        <v/>
      </c>
    </row>
    <row r="29" ht="28.5" customHeight="1" s="17">
      <c r="A29" s="222" t="n"/>
      <c r="B29" s="223" t="n"/>
      <c r="C29" s="160" t="inlineStr">
        <is>
          <t>Cursor Switch Acquisition</t>
        </is>
      </c>
      <c r="D29" s="160" t="inlineStr">
        <is>
          <t>55 43 49 12 00 10 11 81 00 00 00 00 00 00 00 00 00 01 00 00 00 D7 99</t>
        </is>
      </c>
      <c r="E29" s="161" t="inlineStr">
        <is>
          <t>BE AA 02 00 00 01 8C EA EB AA: Indicates Enable
BE AA 02 00 00 00 AD FA EB AA: Indicates Blanking</t>
        </is>
      </c>
      <c r="F29" s="191" t="n"/>
      <c r="G29" s="192" t="inlineStr">
        <is>
          <t>0x10</t>
        </is>
      </c>
      <c r="H29" s="178" t="inlineStr">
        <is>
          <t>0x11</t>
        </is>
      </c>
      <c r="I29" s="177" t="inlineStr">
        <is>
          <t>0x81</t>
        </is>
      </c>
      <c r="J29" s="178" t="inlineStr">
        <is>
          <t>0x00</t>
        </is>
      </c>
      <c r="K29" s="178" t="inlineStr">
        <is>
          <t>0x00</t>
        </is>
      </c>
      <c r="L29" s="178" t="inlineStr">
        <is>
          <t>0x00</t>
        </is>
      </c>
      <c r="M29" s="178" t="inlineStr">
        <is>
          <t>0x00</t>
        </is>
      </c>
      <c r="N29" s="178" t="inlineStr">
        <is>
          <t>0x00</t>
        </is>
      </c>
      <c r="O29" s="178" t="inlineStr">
        <is>
          <t>0x00</t>
        </is>
      </c>
      <c r="P29" s="178" t="inlineStr">
        <is>
          <t>0x00</t>
        </is>
      </c>
      <c r="Q29" s="178" t="inlineStr">
        <is>
          <t>0x00</t>
        </is>
      </c>
      <c r="R29" s="178" t="inlineStr">
        <is>
          <t>0x00</t>
        </is>
      </c>
      <c r="S29" s="178" t="inlineStr">
        <is>
          <t>0x01</t>
        </is>
      </c>
      <c r="T29" s="178" t="inlineStr">
        <is>
          <t>0x00</t>
        </is>
      </c>
      <c r="U29" s="178" t="inlineStr">
        <is>
          <t>0x00</t>
        </is>
      </c>
      <c r="V29" s="178" t="inlineStr">
        <is>
          <t>0x00</t>
        </is>
      </c>
      <c r="W29" s="180">
        <f>"0x"&amp;MID(D29,64,2)</f>
        <v/>
      </c>
      <c r="X29" s="180">
        <f>"0x"&amp;MID(D29,67,2)</f>
        <v/>
      </c>
      <c r="Y29" s="182">
        <f>CONCATENATE(RIGHT(G29,2)," ",RIGHT(H29,2)," ",RIGHT(I29,2)," ",RIGHT(J29,2)," ",RIGHT(K29,2)," ",RIGHT(L29,2)," ",RIGHT(M29,2)," ",RIGHT(N29,2)," ",RIGHT(O29,2)," ",RIGHT(P29,2)," ",RIGHT(Q29,2)," ",RIGHT(R29,2)," ",RIGHT(S29,2)," ",RIGHT(T29,2)," ",RIGHT(U29,2)," ",RIGHT(V29,2)," ",RIGHT(W29,2)," ",RIGHT(X29,2))</f>
        <v/>
      </c>
    </row>
    <row r="30" ht="28.5" customHeight="1" s="17">
      <c r="A30" s="222" t="n"/>
      <c r="B30" s="223" t="n"/>
      <c r="C30" s="160" t="inlineStr">
        <is>
          <t>Cursor Position Setting - (300, 280) - Example</t>
        </is>
      </c>
      <c r="D30" s="160" t="inlineStr">
        <is>
          <t>55 43 49 12 00 10 11 58 00 2C 01 18 01 00 00 00 00 00 00 00 00 34 50</t>
        </is>
      </c>
      <c r="E30" s="161" t="inlineStr">
        <is>
          <t>Para1[1] + Para1[0]: x-axis coordinate 0x012C represents 300
Para1[3] + Para1[2]: y-axis coordinate 0x0118 represents 280</t>
        </is>
      </c>
      <c r="F30" s="191" t="n"/>
      <c r="G30" s="192" t="inlineStr">
        <is>
          <t>0x10</t>
        </is>
      </c>
      <c r="H30" s="178" t="inlineStr">
        <is>
          <t>0x11</t>
        </is>
      </c>
      <c r="I30" s="177" t="inlineStr">
        <is>
          <t>0x58</t>
        </is>
      </c>
      <c r="J30" s="178" t="inlineStr">
        <is>
          <t>0x00</t>
        </is>
      </c>
      <c r="K30" s="130" t="inlineStr">
        <is>
          <t>0x2C</t>
        </is>
      </c>
      <c r="L30" s="130" t="inlineStr">
        <is>
          <t>0x01</t>
        </is>
      </c>
      <c r="M30" s="130" t="inlineStr">
        <is>
          <t>0x18</t>
        </is>
      </c>
      <c r="N30" s="130" t="inlineStr">
        <is>
          <t>0x01</t>
        </is>
      </c>
      <c r="O30" s="178" t="inlineStr">
        <is>
          <t>0x00</t>
        </is>
      </c>
      <c r="P30" s="178" t="inlineStr">
        <is>
          <t>0x00</t>
        </is>
      </c>
      <c r="Q30" s="178" t="inlineStr">
        <is>
          <t>0x00</t>
        </is>
      </c>
      <c r="R30" s="178" t="inlineStr">
        <is>
          <t>0x00</t>
        </is>
      </c>
      <c r="S30" s="178" t="inlineStr">
        <is>
          <t>0x00</t>
        </is>
      </c>
      <c r="T30" s="178" t="inlineStr">
        <is>
          <t>0x00</t>
        </is>
      </c>
      <c r="U30" s="178" t="inlineStr">
        <is>
          <t>0x00</t>
        </is>
      </c>
      <c r="V30" s="178" t="inlineStr">
        <is>
          <t>0x00</t>
        </is>
      </c>
      <c r="W30" s="180">
        <f>"0x"&amp;MID(D30,64,2)</f>
        <v/>
      </c>
      <c r="X30" s="180">
        <f>"0x"&amp;MID(D30,67,2)</f>
        <v/>
      </c>
      <c r="Y30" s="182">
        <f>CONCATENATE(RIGHT(G30,2)," ",RIGHT(H30,2)," ",RIGHT(I30,2)," ",RIGHT(J30,2)," ",RIGHT(K30,2)," ",RIGHT(L30,2)," ",RIGHT(M30,2)," ",RIGHT(N30,2)," ",RIGHT(O30,2)," ",RIGHT(P30,2)," ",RIGHT(Q30,2)," ",RIGHT(R30,2)," ",RIGHT(S30,2)," ",RIGHT(T30,2)," ",RIGHT(U30,2)," ",RIGHT(V30,2)," ",RIGHT(W30,2)," ",RIGHT(X30,2))</f>
        <v/>
      </c>
    </row>
    <row r="31">
      <c r="A31" s="222" t="n"/>
      <c r="B31" s="223" t="n"/>
      <c r="C31" s="160" t="inlineStr">
        <is>
          <t>Cursor Position Acquisition</t>
        </is>
      </c>
      <c r="D31" s="160" t="inlineStr">
        <is>
          <t>55 43 49 12 00 10 11 82 00 00 00 00 00 00 00 00 00 04 00 00 00 31 A8</t>
        </is>
      </c>
      <c r="E31" s="161" t="inlineStr">
        <is>
          <t xml:space="preserve">BE AA 05 00 00 2C 01 18 01 42 83 EB AA </t>
        </is>
      </c>
      <c r="F31" s="191" t="n"/>
      <c r="G31" s="192" t="inlineStr">
        <is>
          <t>0x10</t>
        </is>
      </c>
      <c r="H31" s="178" t="inlineStr">
        <is>
          <t>0x11</t>
        </is>
      </c>
      <c r="I31" s="178" t="inlineStr">
        <is>
          <t>0x82</t>
        </is>
      </c>
      <c r="J31" s="178" t="inlineStr">
        <is>
          <t>0x00</t>
        </is>
      </c>
      <c r="K31" s="178" t="inlineStr">
        <is>
          <t>0x00</t>
        </is>
      </c>
      <c r="L31" s="178" t="inlineStr">
        <is>
          <t>0x00</t>
        </is>
      </c>
      <c r="M31" s="178" t="inlineStr">
        <is>
          <t>0x00</t>
        </is>
      </c>
      <c r="N31" s="178" t="inlineStr">
        <is>
          <t>0x00</t>
        </is>
      </c>
      <c r="O31" s="178" t="inlineStr">
        <is>
          <t>0x00</t>
        </is>
      </c>
      <c r="P31" s="178" t="inlineStr">
        <is>
          <t>0x00</t>
        </is>
      </c>
      <c r="Q31" s="178" t="inlineStr">
        <is>
          <t>0x00</t>
        </is>
      </c>
      <c r="R31" s="178" t="inlineStr">
        <is>
          <t>0x00</t>
        </is>
      </c>
      <c r="S31" s="178" t="inlineStr">
        <is>
          <t>0x04</t>
        </is>
      </c>
      <c r="T31" s="178" t="inlineStr">
        <is>
          <t>0x00</t>
        </is>
      </c>
      <c r="U31" s="178" t="inlineStr">
        <is>
          <t>0x00</t>
        </is>
      </c>
      <c r="V31" s="178" t="inlineStr">
        <is>
          <t>0x00</t>
        </is>
      </c>
      <c r="W31" s="180">
        <f>"0x"&amp;MID(D31,64,2)</f>
        <v/>
      </c>
      <c r="X31" s="180">
        <f>"0x"&amp;MID(D31,67,2)</f>
        <v/>
      </c>
      <c r="Y31" s="182">
        <f>CONCATENATE(RIGHT(G31,2)," ",RIGHT(H31,2)," ",RIGHT(I31,2)," ",RIGHT(J31,2)," ",RIGHT(K31,2)," ",RIGHT(L31,2)," ",RIGHT(M31,2)," ",RIGHT(N31,2)," ",RIGHT(O31,2)," ",RIGHT(P31,2)," ",RIGHT(Q31,2)," ",RIGHT(R31,2)," ",RIGHT(S31,2)," ",RIGHT(T31,2)," ",RIGHT(U31,2)," ",RIGHT(V31,2)," ",RIGHT(W31,2)," ",RIGHT(X31,2))</f>
        <v/>
      </c>
    </row>
    <row r="32" ht="42.75" customHeight="1" s="17">
      <c r="A32" s="222" t="n"/>
      <c r="B32" s="223" t="n"/>
      <c r="C32" s="160" t="inlineStr">
        <is>
          <t>Set the cursor point as a dead pixel (manual calibration) - (300, 280) - Example</t>
        </is>
      </c>
      <c r="D32" s="160" t="inlineStr">
        <is>
          <t>55 43 49 12 00 10 11 52 00 2C 01 18 01 00 00 00 00 00 00 00 00 9D 4D</t>
        </is>
      </c>
      <c r="E32" s="161" t="inlineStr">
        <is>
          <t>After setting as a dead pixel, it takes effect immediately, i.e., the dead pixel point disappears on the screen
But it will not be automatically saved, wait until all dead pixel calibrations are completed, then call the save dead pixel command</t>
        </is>
      </c>
      <c r="F32" s="191" t="n"/>
      <c r="G32" s="192" t="inlineStr">
        <is>
          <t>0x10</t>
        </is>
      </c>
      <c r="H32" s="178" t="inlineStr">
        <is>
          <t>0x11</t>
        </is>
      </c>
      <c r="I32" s="177" t="inlineStr">
        <is>
          <t>0x52</t>
        </is>
      </c>
      <c r="J32" s="130" t="inlineStr">
        <is>
          <t>0x00</t>
        </is>
      </c>
      <c r="K32" s="130" t="inlineStr">
        <is>
          <t>0x2C</t>
        </is>
      </c>
      <c r="L32" s="130" t="inlineStr">
        <is>
          <t>0x01</t>
        </is>
      </c>
      <c r="M32" s="130" t="inlineStr">
        <is>
          <t>0x18</t>
        </is>
      </c>
      <c r="N32" s="130" t="inlineStr">
        <is>
          <t>0x01</t>
        </is>
      </c>
      <c r="O32" s="178" t="inlineStr">
        <is>
          <t>0x00</t>
        </is>
      </c>
      <c r="P32" s="178" t="inlineStr">
        <is>
          <t>0x00</t>
        </is>
      </c>
      <c r="Q32" s="178" t="inlineStr">
        <is>
          <t>0x00</t>
        </is>
      </c>
      <c r="R32" s="178" t="inlineStr">
        <is>
          <t>0x00</t>
        </is>
      </c>
      <c r="S32" s="178" t="inlineStr">
        <is>
          <t>0x00</t>
        </is>
      </c>
      <c r="T32" s="178" t="inlineStr">
        <is>
          <t>0x00</t>
        </is>
      </c>
      <c r="U32" s="178" t="inlineStr">
        <is>
          <t>0x00</t>
        </is>
      </c>
      <c r="V32" s="178" t="inlineStr">
        <is>
          <t>0x00</t>
        </is>
      </c>
      <c r="W32" s="180">
        <f>"0x"&amp;MID(D32,64,2)</f>
        <v/>
      </c>
      <c r="X32" s="180">
        <f>"0x"&amp;MID(D32,67,2)</f>
        <v/>
      </c>
      <c r="Y32" s="182">
        <f>CONCATENATE(RIGHT(G32,2)," ",RIGHT(H32,2)," ",RIGHT(I32,2)," ",RIGHT(J32,2)," ",RIGHT(K32,2)," ",RIGHT(L32,2)," ",RIGHT(M32,2)," ",RIGHT(N32,2)," ",RIGHT(O32,2)," ",RIGHT(P32,2)," ",RIGHT(Q32,2)," ",RIGHT(R32,2)," ",RIGHT(S32,2)," ",RIGHT(T32,2)," ",RIGHT(U32,2)," ",RIGHT(V32,2)," ",RIGHT(W32,2)," ",RIGHT(X32,2))</f>
        <v/>
      </c>
    </row>
    <row r="33" ht="42.75" customHeight="1" s="17">
      <c r="A33" s="222" t="n"/>
      <c r="B33" s="223" t="n"/>
      <c r="C33" s="160" t="inlineStr">
        <is>
          <t>Set the cursor point as a non-dead pixel (manual calibration) - (300, 280) - Example</t>
        </is>
      </c>
      <c r="D33" s="160" t="inlineStr">
        <is>
          <t>55 43 49 12 00 10 11 52 01 2C 01 18 01 00 00 00 00 00 00 00 00 FE 08</t>
        </is>
      </c>
      <c r="E33" s="161" t="n"/>
      <c r="F33" s="191" t="n"/>
      <c r="G33" s="192" t="inlineStr">
        <is>
          <t>0x10</t>
        </is>
      </c>
      <c r="H33" s="178" t="inlineStr">
        <is>
          <t>0x11</t>
        </is>
      </c>
      <c r="I33" s="177" t="inlineStr">
        <is>
          <t>0x52</t>
        </is>
      </c>
      <c r="J33" s="130" t="inlineStr">
        <is>
          <t>0x01</t>
        </is>
      </c>
      <c r="K33" s="130" t="inlineStr">
        <is>
          <t>0x2C</t>
        </is>
      </c>
      <c r="L33" s="130" t="inlineStr">
        <is>
          <t>0x01</t>
        </is>
      </c>
      <c r="M33" s="130" t="inlineStr">
        <is>
          <t>0x18</t>
        </is>
      </c>
      <c r="N33" s="130" t="inlineStr">
        <is>
          <t>0x01</t>
        </is>
      </c>
      <c r="O33" s="178" t="inlineStr">
        <is>
          <t>0x00</t>
        </is>
      </c>
      <c r="P33" s="178" t="inlineStr">
        <is>
          <t>0x00</t>
        </is>
      </c>
      <c r="Q33" s="178" t="inlineStr">
        <is>
          <t>0x00</t>
        </is>
      </c>
      <c r="R33" s="178" t="inlineStr">
        <is>
          <t>0x00</t>
        </is>
      </c>
      <c r="S33" s="178" t="inlineStr">
        <is>
          <t>0x00</t>
        </is>
      </c>
      <c r="T33" s="178" t="inlineStr">
        <is>
          <t>0x00</t>
        </is>
      </c>
      <c r="U33" s="178" t="inlineStr">
        <is>
          <t>0x00</t>
        </is>
      </c>
      <c r="V33" s="178" t="inlineStr">
        <is>
          <t>0x00</t>
        </is>
      </c>
      <c r="W33" s="180">
        <f>"0x"&amp;MID(D33,64,2)</f>
        <v/>
      </c>
      <c r="X33" s="180">
        <f>"0x"&amp;MID(D33,67,2)</f>
        <v/>
      </c>
      <c r="Y33" s="182">
        <f>CONCATENATE(RIGHT(G33,2)," ",RIGHT(H33,2)," ",RIGHT(I33,2)," ",RIGHT(J33,2)," ",RIGHT(K33,2)," ",RIGHT(L33,2)," ",RIGHT(M33,2)," ",RIGHT(N33,2)," ",RIGHT(O33,2)," ",RIGHT(P33,2)," ",RIGHT(Q33,2)," ",RIGHT(R33,2)," ",RIGHT(S33,2)," ",RIGHT(T33,2)," ",RIGHT(U33,2)," ",RIGHT(V33,2)," ",RIGHT(W33,2)," ",RIGHT(X33,2))</f>
        <v/>
      </c>
    </row>
    <row r="34">
      <c r="A34" s="222" t="n"/>
      <c r="B34" s="223" t="n"/>
      <c r="C34" s="160" t="inlineStr">
        <is>
          <t>Cancel this calibration data</t>
        </is>
      </c>
      <c r="D34" s="160" t="inlineStr">
        <is>
          <t>55 43 49 12 00 10 11 53 00 00 00 00 00 00 00 00 00 00 00 00 00 97 A3</t>
        </is>
      </c>
      <c r="E34" s="161" t="n"/>
      <c r="F34" s="191" t="n"/>
      <c r="G34" s="192" t="inlineStr">
        <is>
          <t>0x10</t>
        </is>
      </c>
      <c r="H34" s="178" t="inlineStr">
        <is>
          <t>0x11</t>
        </is>
      </c>
      <c r="I34" s="177" t="inlineStr">
        <is>
          <t>0x53</t>
        </is>
      </c>
      <c r="J34" s="178" t="inlineStr">
        <is>
          <t>0x00</t>
        </is>
      </c>
      <c r="K34" s="178" t="inlineStr">
        <is>
          <t>0x00</t>
        </is>
      </c>
      <c r="L34" s="178" t="inlineStr">
        <is>
          <t>0x00</t>
        </is>
      </c>
      <c r="M34" s="178" t="inlineStr">
        <is>
          <t>0x00</t>
        </is>
      </c>
      <c r="N34" s="178" t="inlineStr">
        <is>
          <t>0x00</t>
        </is>
      </c>
      <c r="O34" s="178" t="inlineStr">
        <is>
          <t>0x00</t>
        </is>
      </c>
      <c r="P34" s="178" t="inlineStr">
        <is>
          <t>0x00</t>
        </is>
      </c>
      <c r="Q34" s="178" t="inlineStr">
        <is>
          <t>0x00</t>
        </is>
      </c>
      <c r="R34" s="178" t="inlineStr">
        <is>
          <t>0x00</t>
        </is>
      </c>
      <c r="S34" s="178" t="inlineStr">
        <is>
          <t>0x00</t>
        </is>
      </c>
      <c r="T34" s="178" t="inlineStr">
        <is>
          <t>0x00</t>
        </is>
      </c>
      <c r="U34" s="178" t="inlineStr">
        <is>
          <t>0x00</t>
        </is>
      </c>
      <c r="V34" s="178" t="inlineStr">
        <is>
          <t>0x00</t>
        </is>
      </c>
      <c r="W34" s="180">
        <f>"0x"&amp;MID(D34,64,2)</f>
        <v/>
      </c>
      <c r="X34" s="180">
        <f>"0x"&amp;MID(D34,67,2)</f>
        <v/>
      </c>
      <c r="Y34" s="182">
        <f>CONCATENATE(RIGHT(G34,2)," ",RIGHT(H34,2)," ",RIGHT(I34,2)," ",RIGHT(J34,2)," ",RIGHT(K34,2)," ",RIGHT(L34,2)," ",RIGHT(M34,2)," ",RIGHT(N34,2)," ",RIGHT(O34,2)," ",RIGHT(P34,2)," ",RIGHT(Q34,2)," ",RIGHT(R34,2)," ",RIGHT(S34,2)," ",RIGHT(T34,2)," ",RIGHT(U34,2)," ",RIGHT(V34,2)," ",RIGHT(W34,2)," ",RIGHT(X34,2))</f>
        <v/>
      </c>
    </row>
    <row r="35">
      <c r="A35" s="222" t="n"/>
      <c r="B35" s="223" t="n"/>
      <c r="C35" s="160" t="inlineStr">
        <is>
          <t>Save Dead Pixel Data</t>
        </is>
      </c>
      <c r="D35" s="160" t="inlineStr">
        <is>
          <t>55 43 49 12 00 10 11 54 00 00 00 00 00 00 00 00 00 00 00 00 00 91 D3</t>
        </is>
      </c>
      <c r="E35" s="161" t="n"/>
      <c r="F35" s="191" t="n"/>
      <c r="G35" s="192" t="inlineStr">
        <is>
          <t>0x10</t>
        </is>
      </c>
      <c r="H35" s="178" t="inlineStr">
        <is>
          <t>0x11</t>
        </is>
      </c>
      <c r="I35" s="177" t="inlineStr">
        <is>
          <t>0x54</t>
        </is>
      </c>
      <c r="J35" s="178" t="inlineStr">
        <is>
          <t>0x00</t>
        </is>
      </c>
      <c r="K35" s="178" t="inlineStr">
        <is>
          <t>0x00</t>
        </is>
      </c>
      <c r="L35" s="178" t="inlineStr">
        <is>
          <t>0x00</t>
        </is>
      </c>
      <c r="M35" s="178" t="inlineStr">
        <is>
          <t>0x00</t>
        </is>
      </c>
      <c r="N35" s="178" t="inlineStr">
        <is>
          <t>0x00</t>
        </is>
      </c>
      <c r="O35" s="178" t="inlineStr">
        <is>
          <t>0x00</t>
        </is>
      </c>
      <c r="P35" s="178" t="inlineStr">
        <is>
          <t>0x00</t>
        </is>
      </c>
      <c r="Q35" s="178" t="inlineStr">
        <is>
          <t>0x00</t>
        </is>
      </c>
      <c r="R35" s="178" t="inlineStr">
        <is>
          <t>0x00</t>
        </is>
      </c>
      <c r="S35" s="178" t="inlineStr">
        <is>
          <t>0x00</t>
        </is>
      </c>
      <c r="T35" s="178" t="inlineStr">
        <is>
          <t>0x00</t>
        </is>
      </c>
      <c r="U35" s="178" t="inlineStr">
        <is>
          <t>0x00</t>
        </is>
      </c>
      <c r="V35" s="178" t="inlineStr">
        <is>
          <t>0x00</t>
        </is>
      </c>
      <c r="W35" s="180">
        <f>"0x"&amp;MID(D35,64,2)</f>
        <v/>
      </c>
      <c r="X35" s="180">
        <f>"0x"&amp;MID(D35,67,2)</f>
        <v/>
      </c>
      <c r="Y35" s="182">
        <f>CONCATENATE(RIGHT(G35,2)," ",RIGHT(H35,2)," ",RIGHT(I35,2)," ",RIGHT(J35,2)," ",RIGHT(K35,2)," ",RIGHT(L35,2)," ",RIGHT(M35,2)," ",RIGHT(N35,2)," ",RIGHT(O35,2)," ",RIGHT(P35,2)," ",RIGHT(Q35,2)," ",RIGHT(R35,2)," ",RIGHT(S35,2)," ",RIGHT(T35,2)," ",RIGHT(U35,2)," ",RIGHT(V35,2)," ",RIGHT(W35,2)," ",RIGHT(X35,2))</f>
        <v/>
      </c>
    </row>
    <row r="36">
      <c r="A36" s="222" t="n"/>
      <c r="B36" s="223" t="n"/>
      <c r="C36" s="160" t="inlineStr">
        <is>
          <t>Clear Dead Pixel Data</t>
        </is>
      </c>
      <c r="D36" s="160" t="inlineStr">
        <is>
          <t>55 43 49 12 00 10 11 55 00 00 00 00 00 00 00 00 00 00 00 00 00 F0 A8</t>
        </is>
      </c>
      <c r="E36" s="161" t="n"/>
      <c r="F36" s="191" t="n"/>
      <c r="G36" s="192" t="inlineStr">
        <is>
          <t>0x10</t>
        </is>
      </c>
      <c r="H36" s="178" t="inlineStr">
        <is>
          <t>0x11</t>
        </is>
      </c>
      <c r="I36" s="177" t="inlineStr">
        <is>
          <t>0x55</t>
        </is>
      </c>
      <c r="J36" s="178" t="inlineStr">
        <is>
          <t>0x00</t>
        </is>
      </c>
      <c r="K36" s="178" t="inlineStr">
        <is>
          <t>0x00</t>
        </is>
      </c>
      <c r="L36" s="178" t="inlineStr">
        <is>
          <t>0x00</t>
        </is>
      </c>
      <c r="M36" s="178" t="inlineStr">
        <is>
          <t>0x00</t>
        </is>
      </c>
      <c r="N36" s="178" t="inlineStr">
        <is>
          <t>0x00</t>
        </is>
      </c>
      <c r="O36" s="178" t="inlineStr">
        <is>
          <t>0x00</t>
        </is>
      </c>
      <c r="P36" s="178" t="inlineStr">
        <is>
          <t>0x00</t>
        </is>
      </c>
      <c r="Q36" s="178" t="inlineStr">
        <is>
          <t>0x00</t>
        </is>
      </c>
      <c r="R36" s="178" t="inlineStr">
        <is>
          <t>0x00</t>
        </is>
      </c>
      <c r="S36" s="178" t="inlineStr">
        <is>
          <t>0x00</t>
        </is>
      </c>
      <c r="T36" s="178" t="inlineStr">
        <is>
          <t>0x00</t>
        </is>
      </c>
      <c r="U36" s="178" t="inlineStr">
        <is>
          <t>0x00</t>
        </is>
      </c>
      <c r="V36" s="178" t="inlineStr">
        <is>
          <t>0x00</t>
        </is>
      </c>
      <c r="W36" s="180">
        <f>"0x"&amp;MID(D36,64,2)</f>
        <v/>
      </c>
      <c r="X36" s="180">
        <f>"0x"&amp;MID(D36,67,2)</f>
        <v/>
      </c>
      <c r="Y36" s="182">
        <f>CONCATENATE(RIGHT(G36,2)," ",RIGHT(H36,2)," ",RIGHT(I36,2)," ",RIGHT(J36,2)," ",RIGHT(K36,2)," ",RIGHT(L36,2)," ",RIGHT(M36,2)," ",RIGHT(N36,2)," ",RIGHT(O36,2)," ",RIGHT(P36,2)," ",RIGHT(Q36,2)," ",RIGHT(R36,2)," ",RIGHT(S36,2)," ",RIGHT(T36,2)," ",RIGHT(U36,2)," ",RIGHT(V36,2)," ",RIGHT(W36,2)," ",RIGHT(X36,2))</f>
        <v/>
      </c>
    </row>
    <row r="37">
      <c r="A37" s="222" t="n"/>
      <c r="B37" s="225" t="n"/>
      <c r="C37" s="160" t="inlineStr">
        <is>
          <t>Restore Factory Dead Pixel Data</t>
        </is>
      </c>
      <c r="D37" s="160" t="inlineStr">
        <is>
          <t>55 43 49 12 00 10 11 56 00 00 00 00 00 00 00 00 00 00 00 00 00 53 25</t>
        </is>
      </c>
      <c r="E37" s="161" t="n"/>
      <c r="F37" s="191" t="n"/>
      <c r="G37" s="192" t="inlineStr">
        <is>
          <t>0x10</t>
        </is>
      </c>
      <c r="H37" s="178" t="inlineStr">
        <is>
          <t>0x11</t>
        </is>
      </c>
      <c r="I37" s="177" t="inlineStr">
        <is>
          <t>0x56</t>
        </is>
      </c>
      <c r="J37" s="178" t="inlineStr">
        <is>
          <t>0x00</t>
        </is>
      </c>
      <c r="K37" s="178" t="inlineStr">
        <is>
          <t>0x00</t>
        </is>
      </c>
      <c r="L37" s="178" t="inlineStr">
        <is>
          <t>0x00</t>
        </is>
      </c>
      <c r="M37" s="178" t="inlineStr">
        <is>
          <t>0x00</t>
        </is>
      </c>
      <c r="N37" s="178" t="inlineStr">
        <is>
          <t>0x00</t>
        </is>
      </c>
      <c r="O37" s="178" t="inlineStr">
        <is>
          <t>0x00</t>
        </is>
      </c>
      <c r="P37" s="178" t="inlineStr">
        <is>
          <t>0x00</t>
        </is>
      </c>
      <c r="Q37" s="178" t="inlineStr">
        <is>
          <t>0x00</t>
        </is>
      </c>
      <c r="R37" s="178" t="inlineStr">
        <is>
          <t>0x00</t>
        </is>
      </c>
      <c r="S37" s="178" t="inlineStr">
        <is>
          <t>0x00</t>
        </is>
      </c>
      <c r="T37" s="178" t="inlineStr">
        <is>
          <t>0x00</t>
        </is>
      </c>
      <c r="U37" s="178" t="inlineStr">
        <is>
          <t>0x00</t>
        </is>
      </c>
      <c r="V37" s="178" t="inlineStr">
        <is>
          <t>0x00</t>
        </is>
      </c>
      <c r="W37" s="180">
        <f>"0x"&amp;MID(D37,64,2)</f>
        <v/>
      </c>
      <c r="X37" s="180">
        <f>"0x"&amp;MID(D37,67,2)</f>
        <v/>
      </c>
      <c r="Y37" s="182">
        <f>CONCATENATE(RIGHT(G37,2)," ",RIGHT(H37,2)," ",RIGHT(I37,2)," ",RIGHT(J37,2)," ",RIGHT(K37,2)," ",RIGHT(L37,2)," ",RIGHT(M37,2)," ",RIGHT(N37,2)," ",RIGHT(O37,2)," ",RIGHT(P37,2)," ",RIGHT(Q37,2)," ",RIGHT(R37,2)," ",RIGHT(S37,2)," ",RIGHT(T37,2)," ",RIGHT(U37,2)," ",RIGHT(V37,2)," ",RIGHT(W37,2)," ",RIGHT(X37,2))</f>
        <v/>
      </c>
    </row>
    <row r="38">
      <c r="A38" s="222" t="n"/>
      <c r="B38" s="160" t="inlineStr">
        <is>
          <t>Lid</t>
        </is>
      </c>
      <c r="C38" s="160" t="inlineStr">
        <is>
          <t>Calibrate Lid</t>
        </is>
      </c>
      <c r="D38" s="160" t="inlineStr">
        <is>
          <t>55 43 49 12 00 10 11 61 00 00 00 00 00 00 00 00 00 00 00 00 00 6D 0E</t>
        </is>
      </c>
      <c r="E38" s="161" t="inlineStr">
        <is>
          <t>Step 1: Align with a uniform surface, issue this command, the screen will freeze, and after thawing, it is completed</t>
        </is>
      </c>
      <c r="F38" s="191" t="n"/>
      <c r="G38" s="192" t="inlineStr">
        <is>
          <t>0x10</t>
        </is>
      </c>
      <c r="H38" s="178" t="inlineStr">
        <is>
          <t>0x11</t>
        </is>
      </c>
      <c r="I38" s="178" t="inlineStr">
        <is>
          <t>0x61</t>
        </is>
      </c>
      <c r="J38" s="178" t="inlineStr">
        <is>
          <t>0x00</t>
        </is>
      </c>
      <c r="K38" s="178" t="inlineStr">
        <is>
          <t>0x00</t>
        </is>
      </c>
      <c r="L38" s="178" t="inlineStr">
        <is>
          <t>0x00</t>
        </is>
      </c>
      <c r="M38" s="178" t="inlineStr">
        <is>
          <t>0x00</t>
        </is>
      </c>
      <c r="N38" s="178" t="inlineStr">
        <is>
          <t>0x00</t>
        </is>
      </c>
      <c r="O38" s="178" t="inlineStr">
        <is>
          <t>0x00</t>
        </is>
      </c>
      <c r="P38" s="178" t="inlineStr">
        <is>
          <t>0x00</t>
        </is>
      </c>
      <c r="Q38" s="178" t="inlineStr">
        <is>
          <t>0x00</t>
        </is>
      </c>
      <c r="R38" s="178" t="inlineStr">
        <is>
          <t>0x00</t>
        </is>
      </c>
      <c r="S38" s="178" t="inlineStr">
        <is>
          <t>0x00</t>
        </is>
      </c>
      <c r="T38" s="178" t="inlineStr">
        <is>
          <t>0x00</t>
        </is>
      </c>
      <c r="U38" s="178" t="inlineStr">
        <is>
          <t>0x00</t>
        </is>
      </c>
      <c r="V38" s="178" t="inlineStr">
        <is>
          <t>0x00</t>
        </is>
      </c>
      <c r="W38" s="180">
        <f>"0x"&amp;MID(D38,64,2)</f>
        <v/>
      </c>
      <c r="X38" s="180">
        <f>"0x"&amp;MID(D38,67,2)</f>
        <v/>
      </c>
      <c r="Y38" s="182">
        <f>CONCATENATE(RIGHT(G38,2)," ",RIGHT(H38,2)," ",RIGHT(I38,2)," ",RIGHT(J38,2)," ",RIGHT(K38,2)," ",RIGHT(L38,2)," ",RIGHT(M38,2)," ",RIGHT(N38,2)," ",RIGHT(O38,2)," ",RIGHT(P38,2)," ",RIGHT(Q38,2)," ",RIGHT(R38,2)," ",RIGHT(S38,2)," ",RIGHT(T38,2)," ",RIGHT(U38,2)," ",RIGHT(V38,2)," ",RIGHT(W38,2)," ",RIGHT(X38,2))</f>
        <v/>
      </c>
    </row>
    <row r="39">
      <c r="A39" s="222" t="n"/>
      <c r="B39" s="223" t="n"/>
      <c r="C39" s="160" t="inlineStr">
        <is>
          <t>Save Pot Lid</t>
        </is>
      </c>
      <c r="D39" s="160" t="inlineStr">
        <is>
          <t>55 43 49 12 00 10 11 63 00 00 00 00 00 00 00 00 00 00 00 00 00 AF F8</t>
        </is>
      </c>
      <c r="E39" s="161" t="inlineStr">
        <is>
          <t>Step 2: If the effect is OK, proceed with the save operation</t>
        </is>
      </c>
      <c r="F39" s="191" t="n"/>
      <c r="G39" s="192" t="inlineStr">
        <is>
          <t>0x10</t>
        </is>
      </c>
      <c r="H39" s="178" t="inlineStr">
        <is>
          <t>0x11</t>
        </is>
      </c>
      <c r="I39" s="178" t="inlineStr">
        <is>
          <t>0x63</t>
        </is>
      </c>
      <c r="J39" s="178" t="inlineStr">
        <is>
          <t>0x00</t>
        </is>
      </c>
      <c r="K39" s="178" t="inlineStr">
        <is>
          <t>0x00</t>
        </is>
      </c>
      <c r="L39" s="178" t="inlineStr">
        <is>
          <t>0x00</t>
        </is>
      </c>
      <c r="M39" s="178" t="inlineStr">
        <is>
          <t>0x00</t>
        </is>
      </c>
      <c r="N39" s="178" t="inlineStr">
        <is>
          <t>0x00</t>
        </is>
      </c>
      <c r="O39" s="178" t="inlineStr">
        <is>
          <t>0x00</t>
        </is>
      </c>
      <c r="P39" s="178" t="inlineStr">
        <is>
          <t>0x00</t>
        </is>
      </c>
      <c r="Q39" s="178" t="inlineStr">
        <is>
          <t>0x00</t>
        </is>
      </c>
      <c r="R39" s="178" t="inlineStr">
        <is>
          <t>0x00</t>
        </is>
      </c>
      <c r="S39" s="178" t="inlineStr">
        <is>
          <t>0x00</t>
        </is>
      </c>
      <c r="T39" s="178" t="inlineStr">
        <is>
          <t>0x00</t>
        </is>
      </c>
      <c r="U39" s="178" t="inlineStr">
        <is>
          <t>0x00</t>
        </is>
      </c>
      <c r="V39" s="178" t="inlineStr">
        <is>
          <t>0x00</t>
        </is>
      </c>
      <c r="W39" s="180">
        <f>"0x"&amp;MID(D39,64,2)</f>
        <v/>
      </c>
      <c r="X39" s="180">
        <f>"0x"&amp;MID(D39,67,2)</f>
        <v/>
      </c>
      <c r="Y39" s="182">
        <f>CONCATENATE(RIGHT(G39,2)," ",RIGHT(H39,2)," ",RIGHT(I39,2)," ",RIGHT(J39,2)," ",RIGHT(K39,2)," ",RIGHT(L39,2)," ",RIGHT(M39,2)," ",RIGHT(N39,2)," ",RIGHT(O39,2)," ",RIGHT(P39,2)," ",RIGHT(Q39,2)," ",RIGHT(R39,2)," ",RIGHT(S39,2)," ",RIGHT(T39,2)," ",RIGHT(U39,2)," ",RIGHT(V39,2)," ",RIGHT(W39,2)," ",RIGHT(X39,2))</f>
        <v/>
      </c>
    </row>
    <row r="40">
      <c r="A40" s="222" t="n"/>
      <c r="B40" s="223" t="n"/>
      <c r="C40" s="160" t="inlineStr">
        <is>
          <t>Cancel Calibration Result</t>
        </is>
      </c>
      <c r="D40" s="160" t="inlineStr">
        <is>
          <t>55 43 49 12 00 10 11 62 00 00 00 00 00 00 00 00 00 00 00 00 00 CE 83</t>
        </is>
      </c>
      <c r="E40" s="161" t="inlineStr">
        <is>
          <t>If the effect is not OK, cancel the calibration, i.e., revert to the state before calibration</t>
        </is>
      </c>
      <c r="F40" s="191" t="n"/>
      <c r="G40" s="192" t="inlineStr">
        <is>
          <t>0x10</t>
        </is>
      </c>
      <c r="H40" s="178" t="inlineStr">
        <is>
          <t>0x11</t>
        </is>
      </c>
      <c r="I40" s="178" t="inlineStr">
        <is>
          <t>0x62</t>
        </is>
      </c>
      <c r="J40" s="178" t="inlineStr">
        <is>
          <t>0x00</t>
        </is>
      </c>
      <c r="K40" s="178" t="inlineStr">
        <is>
          <t>0x00</t>
        </is>
      </c>
      <c r="L40" s="178" t="inlineStr">
        <is>
          <t>0x00</t>
        </is>
      </c>
      <c r="M40" s="178" t="inlineStr">
        <is>
          <t>0x00</t>
        </is>
      </c>
      <c r="N40" s="178" t="inlineStr">
        <is>
          <t>0x00</t>
        </is>
      </c>
      <c r="O40" s="178" t="inlineStr">
        <is>
          <t>0x00</t>
        </is>
      </c>
      <c r="P40" s="178" t="inlineStr">
        <is>
          <t>0x00</t>
        </is>
      </c>
      <c r="Q40" s="178" t="inlineStr">
        <is>
          <t>0x00</t>
        </is>
      </c>
      <c r="R40" s="178" t="inlineStr">
        <is>
          <t>0x00</t>
        </is>
      </c>
      <c r="S40" s="178" t="inlineStr">
        <is>
          <t>0x00</t>
        </is>
      </c>
      <c r="T40" s="178" t="inlineStr">
        <is>
          <t>0x00</t>
        </is>
      </c>
      <c r="U40" s="178" t="inlineStr">
        <is>
          <t>0x00</t>
        </is>
      </c>
      <c r="V40" s="178" t="inlineStr">
        <is>
          <t>0x00</t>
        </is>
      </c>
      <c r="W40" s="180">
        <f>"0x"&amp;MID(D40,64,2)</f>
        <v/>
      </c>
      <c r="X40" s="180">
        <f>"0x"&amp;MID(D40,67,2)</f>
        <v/>
      </c>
      <c r="Y40" s="182">
        <f>CONCATENATE(RIGHT(G40,2)," ",RIGHT(H40,2)," ",RIGHT(I40,2)," ",RIGHT(J40,2)," ",RIGHT(K40,2)," ",RIGHT(L40,2)," ",RIGHT(M40,2)," ",RIGHT(N40,2)," ",RIGHT(O40,2)," ",RIGHT(P40,2)," ",RIGHT(Q40,2)," ",RIGHT(R40,2)," ",RIGHT(S40,2)," ",RIGHT(T40,2)," ",RIGHT(U40,2)," ",RIGHT(V40,2)," ",RIGHT(W40,2)," ",RIGHT(X40,2))</f>
        <v/>
      </c>
    </row>
    <row r="41">
      <c r="A41" s="222" t="n"/>
      <c r="B41" s="223" t="n"/>
      <c r="C41" s="160" t="inlineStr">
        <is>
          <t>Clear Pot Lid</t>
        </is>
      </c>
      <c r="D41" s="160" t="inlineStr">
        <is>
          <t>55 43 49 12 00 10 11 64 00 00 00 00 00 00 00 00 00 00 00 00 00 A9 88</t>
        </is>
      </c>
      <c r="E41" s="161" t="inlineStr">
        <is>
          <t>Used to test the effect of completely no pot lid calibration</t>
        </is>
      </c>
      <c r="F41" s="191" t="n"/>
      <c r="G41" s="192" t="inlineStr">
        <is>
          <t>0x10</t>
        </is>
      </c>
      <c r="H41" s="178" t="inlineStr">
        <is>
          <t>0x11</t>
        </is>
      </c>
      <c r="I41" s="178" t="inlineStr">
        <is>
          <t>0x64</t>
        </is>
      </c>
      <c r="J41" s="178" t="inlineStr">
        <is>
          <t>0x00</t>
        </is>
      </c>
      <c r="K41" s="178" t="inlineStr">
        <is>
          <t>0x00</t>
        </is>
      </c>
      <c r="L41" s="178" t="inlineStr">
        <is>
          <t>0x00</t>
        </is>
      </c>
      <c r="M41" s="178" t="inlineStr">
        <is>
          <t>0x00</t>
        </is>
      </c>
      <c r="N41" s="178" t="inlineStr">
        <is>
          <t>0x00</t>
        </is>
      </c>
      <c r="O41" s="178" t="inlineStr">
        <is>
          <t>0x00</t>
        </is>
      </c>
      <c r="P41" s="178" t="inlineStr">
        <is>
          <t>0x00</t>
        </is>
      </c>
      <c r="Q41" s="178" t="inlineStr">
        <is>
          <t>0x00</t>
        </is>
      </c>
      <c r="R41" s="178" t="inlineStr">
        <is>
          <t>0x00</t>
        </is>
      </c>
      <c r="S41" s="178" t="inlineStr">
        <is>
          <t>0x00</t>
        </is>
      </c>
      <c r="T41" s="178" t="inlineStr">
        <is>
          <t>0x00</t>
        </is>
      </c>
      <c r="U41" s="178" t="inlineStr">
        <is>
          <t>0x00</t>
        </is>
      </c>
      <c r="V41" s="178" t="inlineStr">
        <is>
          <t>0x00</t>
        </is>
      </c>
      <c r="W41" s="180">
        <f>"0x"&amp;MID(D41,64,2)</f>
        <v/>
      </c>
      <c r="X41" s="180">
        <f>"0x"&amp;MID(D41,67,2)</f>
        <v/>
      </c>
      <c r="Y41" s="182">
        <f>CONCATENATE(RIGHT(G41,2)," ",RIGHT(H41,2)," ",RIGHT(I41,2)," ",RIGHT(J41,2)," ",RIGHT(K41,2)," ",RIGHT(L41,2)," ",RIGHT(M41,2)," ",RIGHT(N41,2)," ",RIGHT(O41,2)," ",RIGHT(P41,2)," ",RIGHT(Q41,2)," ",RIGHT(R41,2)," ",RIGHT(S41,2)," ",RIGHT(T41,2)," ",RIGHT(U41,2)," ",RIGHT(V41,2)," ",RIGHT(W41,2)," ",RIGHT(X41,2))</f>
        <v/>
      </c>
    </row>
    <row r="42" ht="15" customHeight="1" s="17">
      <c r="A42" s="227" t="n"/>
      <c r="B42" s="225" t="n"/>
      <c r="C42" s="174" t="inlineStr">
        <is>
          <t>Restore Factory Pot Lid Data</t>
        </is>
      </c>
      <c r="D42" s="174" t="inlineStr">
        <is>
          <t>55 43 49 12 00 10 11 65 00 00 00 00 00 00 00 00 00 00 00 00 00 C8 F3</t>
        </is>
      </c>
      <c r="E42" s="168" t="inlineStr">
        <is>
          <t>After restoring factory data, it is saved</t>
        </is>
      </c>
      <c r="F42" s="191" t="n"/>
      <c r="G42" s="192" t="inlineStr">
        <is>
          <t>0x10</t>
        </is>
      </c>
      <c r="H42" s="178" t="inlineStr">
        <is>
          <t>0x11</t>
        </is>
      </c>
      <c r="I42" s="178" t="inlineStr">
        <is>
          <t>0x65</t>
        </is>
      </c>
      <c r="J42" s="178" t="inlineStr">
        <is>
          <t>0x00</t>
        </is>
      </c>
      <c r="K42" s="178" t="inlineStr">
        <is>
          <t>0x00</t>
        </is>
      </c>
      <c r="L42" s="178" t="inlineStr">
        <is>
          <t>0x00</t>
        </is>
      </c>
      <c r="M42" s="178" t="inlineStr">
        <is>
          <t>0x00</t>
        </is>
      </c>
      <c r="N42" s="178" t="inlineStr">
        <is>
          <t>0x00</t>
        </is>
      </c>
      <c r="O42" s="178" t="inlineStr">
        <is>
          <t>0x00</t>
        </is>
      </c>
      <c r="P42" s="178" t="inlineStr">
        <is>
          <t>0x00</t>
        </is>
      </c>
      <c r="Q42" s="178" t="inlineStr">
        <is>
          <t>0x00</t>
        </is>
      </c>
      <c r="R42" s="178" t="inlineStr">
        <is>
          <t>0x00</t>
        </is>
      </c>
      <c r="S42" s="178" t="inlineStr">
        <is>
          <t>0x00</t>
        </is>
      </c>
      <c r="T42" s="178" t="inlineStr">
        <is>
          <t>0x00</t>
        </is>
      </c>
      <c r="U42" s="178" t="inlineStr">
        <is>
          <t>0x00</t>
        </is>
      </c>
      <c r="V42" s="178" t="inlineStr">
        <is>
          <t>0x00</t>
        </is>
      </c>
      <c r="W42" s="180">
        <f>"0x"&amp;MID(D42,64,2)</f>
        <v/>
      </c>
      <c r="X42" s="180">
        <f>"0x"&amp;MID(D42,67,2)</f>
        <v/>
      </c>
      <c r="Y42" s="182">
        <f>CONCATENATE(RIGHT(G42,2)," ",RIGHT(H42,2)," ",RIGHT(I42,2)," ",RIGHT(J42,2)," ",RIGHT(K42,2)," ",RIGHT(L42,2)," ",RIGHT(M42,2)," ",RIGHT(N42,2)," ",RIGHT(O42,2)," ",RIGHT(P42,2)," ",RIGHT(Q42,2)," ",RIGHT(R42,2)," ",RIGHT(S42,2)," ",RIGHT(T42,2)," ",RIGHT(U42,2)," ",RIGHT(V42,2)," ",RIGHT(W42,2)," ",RIGHT(X42,2))</f>
        <v/>
      </c>
    </row>
    <row r="43">
      <c r="A43" s="169" t="inlineStr">
        <is>
          <t>System Function</t>
        </is>
      </c>
      <c r="B43" s="186" t="inlineStr">
        <is>
          <t>Firmware Update</t>
        </is>
      </c>
      <c r="C43" s="186" t="n"/>
      <c r="D43" s="186" t="inlineStr">
        <is>
          <t>55 43 49 12 00 01 01 42 00 00 00 00 00 00 00 00 00 00 00 00 00 A5 DB</t>
        </is>
      </c>
      <c r="E43" s="187" t="inlineStr">
        <is>
          <t>Before updating the firmware, this command needs to be issued to put the module into update mode</t>
        </is>
      </c>
      <c r="F43" s="191" t="n"/>
      <c r="G43" s="192" t="inlineStr">
        <is>
          <t>0x01</t>
        </is>
      </c>
      <c r="H43" s="178" t="inlineStr">
        <is>
          <t>0x01</t>
        </is>
      </c>
      <c r="I43" s="178" t="inlineStr">
        <is>
          <t>0x42</t>
        </is>
      </c>
      <c r="J43" s="178" t="inlineStr">
        <is>
          <t>0x00</t>
        </is>
      </c>
      <c r="K43" s="178" t="inlineStr">
        <is>
          <t>0x00</t>
        </is>
      </c>
      <c r="L43" s="178" t="inlineStr">
        <is>
          <t>0x00</t>
        </is>
      </c>
      <c r="M43" s="178" t="inlineStr">
        <is>
          <t>0x00</t>
        </is>
      </c>
      <c r="N43" s="178" t="inlineStr">
        <is>
          <t>0x00</t>
        </is>
      </c>
      <c r="O43" s="178" t="inlineStr">
        <is>
          <t>0x00</t>
        </is>
      </c>
      <c r="P43" s="178" t="inlineStr">
        <is>
          <t>0x00</t>
        </is>
      </c>
      <c r="Q43" s="178" t="inlineStr">
        <is>
          <t>0x00</t>
        </is>
      </c>
      <c r="R43" s="178" t="inlineStr">
        <is>
          <t>0x00</t>
        </is>
      </c>
      <c r="S43" s="178" t="inlineStr">
        <is>
          <t>0x00</t>
        </is>
      </c>
      <c r="T43" s="178" t="inlineStr">
        <is>
          <t>0x00</t>
        </is>
      </c>
      <c r="U43" s="178" t="inlineStr">
        <is>
          <t>0x00</t>
        </is>
      </c>
      <c r="V43" s="178" t="inlineStr">
        <is>
          <t>0x00</t>
        </is>
      </c>
      <c r="W43" s="180">
        <f>"0x"&amp;MID(D43,64,2)</f>
        <v/>
      </c>
      <c r="X43" s="180">
        <f>"0x"&amp;MID(D43,67,2)</f>
        <v/>
      </c>
      <c r="Y43" s="182">
        <f>CONCATENATE(RIGHT(G43,2)," ",RIGHT(H43,2)," ",RIGHT(I43,2)," ",RIGHT(J43,2)," ",RIGHT(K43,2)," ",RIGHT(L43,2)," ",RIGHT(M43,2)," ",RIGHT(N43,2)," ",RIGHT(O43,2)," ",RIGHT(P43,2)," ",RIGHT(Q43,2)," ",RIGHT(R43,2)," ",RIGHT(S43,2)," ",RIGHT(T43,2)," ",RIGHT(U43,2)," ",RIGHT(V43,2)," ",RIGHT(W43,2)," ",RIGHT(X43,2))</f>
        <v/>
      </c>
    </row>
    <row r="44">
      <c r="A44" s="222" t="n"/>
      <c r="B44" s="160" t="inlineStr">
        <is>
          <t>Anti-Burn Protection Switch</t>
        </is>
      </c>
      <c r="C44" s="160" t="inlineStr">
        <is>
          <t>Set - Off</t>
        </is>
      </c>
      <c r="D44" s="160" t="inlineStr">
        <is>
          <t>55 43 49 12 00 10 03 4B 00 00 00 00 00 00 00 00 00 00 00 00 00 58 8D</t>
        </is>
      </c>
      <c r="E44" s="161" t="n"/>
      <c r="F44" s="191" t="n"/>
      <c r="G44" s="192" t="inlineStr">
        <is>
          <t>0x10</t>
        </is>
      </c>
      <c r="H44" s="178" t="inlineStr">
        <is>
          <t>0x03</t>
        </is>
      </c>
      <c r="I44" s="178" t="inlineStr">
        <is>
          <t>0x4B</t>
        </is>
      </c>
      <c r="J44" s="178" t="inlineStr">
        <is>
          <t>0x00</t>
        </is>
      </c>
      <c r="K44" s="178" t="inlineStr">
        <is>
          <t>0x00</t>
        </is>
      </c>
      <c r="L44" s="178" t="inlineStr">
        <is>
          <t>0x00</t>
        </is>
      </c>
      <c r="M44" s="178" t="inlineStr">
        <is>
          <t>0x00</t>
        </is>
      </c>
      <c r="N44" s="178" t="inlineStr">
        <is>
          <t>0x00</t>
        </is>
      </c>
      <c r="O44" s="178" t="inlineStr">
        <is>
          <t>0x00</t>
        </is>
      </c>
      <c r="P44" s="178" t="inlineStr">
        <is>
          <t>0x00</t>
        </is>
      </c>
      <c r="Q44" s="178" t="inlineStr">
        <is>
          <t>0x00</t>
        </is>
      </c>
      <c r="R44" s="178" t="inlineStr">
        <is>
          <t>0x00</t>
        </is>
      </c>
      <c r="S44" s="178" t="inlineStr">
        <is>
          <t>0x00</t>
        </is>
      </c>
      <c r="T44" s="178" t="inlineStr">
        <is>
          <t>0x00</t>
        </is>
      </c>
      <c r="U44" s="178" t="inlineStr">
        <is>
          <t>0x00</t>
        </is>
      </c>
      <c r="V44" s="178" t="inlineStr">
        <is>
          <t>0x00</t>
        </is>
      </c>
      <c r="W44" s="180">
        <f>"0x"&amp;MID(D44,64,2)</f>
        <v/>
      </c>
      <c r="X44" s="180">
        <f>"0x"&amp;MID(D44,67,2)</f>
        <v/>
      </c>
      <c r="Y44" s="182">
        <f>CONCATENATE(RIGHT(G44,2)," ",RIGHT(H44,2)," ",RIGHT(I44,2)," ",RIGHT(J44,2)," ",RIGHT(K44,2)," ",RIGHT(L44,2)," ",RIGHT(M44,2)," ",RIGHT(N44,2)," ",RIGHT(O44,2)," ",RIGHT(P44,2)," ",RIGHT(Q44,2)," ",RIGHT(R44,2)," ",RIGHT(S44,2)," ",RIGHT(T44,2)," ",RIGHT(U44,2)," ",RIGHT(V44,2)," ",RIGHT(W44,2)," ",RIGHT(X44,2))</f>
        <v/>
      </c>
    </row>
    <row r="45">
      <c r="A45" s="222" t="n"/>
      <c r="B45" s="223" t="n"/>
      <c r="C45" s="160" t="inlineStr">
        <is>
          <t>Set - On</t>
        </is>
      </c>
      <c r="D45" s="160" t="inlineStr">
        <is>
          <t>55 43 49 12 00 10 03 4B 00 01 00 00 00 00 00 00 00 00 00 00 00 2D 8E</t>
        </is>
      </c>
      <c r="E45" s="161" t="n"/>
      <c r="F45" s="191" t="n"/>
      <c r="G45" s="192" t="inlineStr">
        <is>
          <t>0x10</t>
        </is>
      </c>
      <c r="H45" s="178" t="inlineStr">
        <is>
          <t>0x03</t>
        </is>
      </c>
      <c r="I45" s="178" t="inlineStr">
        <is>
          <t>0x4B</t>
        </is>
      </c>
      <c r="J45" s="178" t="inlineStr">
        <is>
          <t>0x00</t>
        </is>
      </c>
      <c r="K45" s="178" t="inlineStr">
        <is>
          <t>0x01</t>
        </is>
      </c>
      <c r="L45" s="178" t="inlineStr">
        <is>
          <t>0x00</t>
        </is>
      </c>
      <c r="M45" s="178" t="inlineStr">
        <is>
          <t>0x00</t>
        </is>
      </c>
      <c r="N45" s="178" t="inlineStr">
        <is>
          <t>0x00</t>
        </is>
      </c>
      <c r="O45" s="178" t="inlineStr">
        <is>
          <t>0x00</t>
        </is>
      </c>
      <c r="P45" s="178" t="inlineStr">
        <is>
          <t>0x00</t>
        </is>
      </c>
      <c r="Q45" s="178" t="inlineStr">
        <is>
          <t>0x00</t>
        </is>
      </c>
      <c r="R45" s="178" t="inlineStr">
        <is>
          <t>0x00</t>
        </is>
      </c>
      <c r="S45" s="178" t="inlineStr">
        <is>
          <t>0x00</t>
        </is>
      </c>
      <c r="T45" s="178" t="inlineStr">
        <is>
          <t>0x00</t>
        </is>
      </c>
      <c r="U45" s="178" t="inlineStr">
        <is>
          <t>0x00</t>
        </is>
      </c>
      <c r="V45" s="178" t="inlineStr">
        <is>
          <t>0x00</t>
        </is>
      </c>
      <c r="W45" s="180">
        <f>"0x"&amp;MID(D45,64,2)</f>
        <v/>
      </c>
      <c r="X45" s="180">
        <f>"0x"&amp;MID(D45,67,2)</f>
        <v/>
      </c>
      <c r="Y45" s="182">
        <f>CONCATENATE(RIGHT(G45,2)," ",RIGHT(H45,2)," ",RIGHT(I45,2)," ",RIGHT(J45,2)," ",RIGHT(K45,2)," ",RIGHT(L45,2)," ",RIGHT(M45,2)," ",RIGHT(N45,2)," ",RIGHT(O45,2)," ",RIGHT(P45,2)," ",RIGHT(Q45,2)," ",RIGHT(R45,2)," ",RIGHT(S45,2)," ",RIGHT(T45,2)," ",RIGHT(U45,2)," ",RIGHT(V45,2)," ",RIGHT(W45,2)," ",RIGHT(X45,2))</f>
        <v/>
      </c>
    </row>
    <row r="46" ht="28.5" customHeight="1" s="17">
      <c r="A46" s="222" t="n"/>
      <c r="B46" s="225" t="n"/>
      <c r="C46" s="160" t="inlineStr">
        <is>
          <t>Get</t>
        </is>
      </c>
      <c r="D46" s="160" t="inlineStr">
        <is>
          <t>55 43 49 12 00 10 03 8B 00 00 00 00 00 00 00 00 00 01 00 00 00 2D 87</t>
        </is>
      </c>
      <c r="E46" s="161" t="inlineStr">
        <is>
          <t>BE AA 02 00 00 00 AD FA EB AA: Indicates off
BE AA 02 00 00 01 8C EA EB AA: Indicates on</t>
        </is>
      </c>
      <c r="F46" s="191" t="n"/>
      <c r="G46" s="192" t="inlineStr">
        <is>
          <t>0x10</t>
        </is>
      </c>
      <c r="H46" s="178" t="inlineStr">
        <is>
          <t>0x03</t>
        </is>
      </c>
      <c r="I46" s="178" t="inlineStr">
        <is>
          <t>0x8B</t>
        </is>
      </c>
      <c r="J46" s="178" t="inlineStr">
        <is>
          <t>0x00</t>
        </is>
      </c>
      <c r="K46" s="178" t="inlineStr">
        <is>
          <t>0x00</t>
        </is>
      </c>
      <c r="L46" s="178" t="inlineStr">
        <is>
          <t>0x00</t>
        </is>
      </c>
      <c r="M46" s="178" t="inlineStr">
        <is>
          <t>0x00</t>
        </is>
      </c>
      <c r="N46" s="178" t="inlineStr">
        <is>
          <t>0x00</t>
        </is>
      </c>
      <c r="O46" s="178" t="inlineStr">
        <is>
          <t>0x00</t>
        </is>
      </c>
      <c r="P46" s="178" t="inlineStr">
        <is>
          <t>0x00</t>
        </is>
      </c>
      <c r="Q46" s="178" t="inlineStr">
        <is>
          <t>0x00</t>
        </is>
      </c>
      <c r="R46" s="178" t="inlineStr">
        <is>
          <t>0x00</t>
        </is>
      </c>
      <c r="S46" s="178" t="inlineStr">
        <is>
          <t>0x01</t>
        </is>
      </c>
      <c r="T46" s="178" t="inlineStr">
        <is>
          <t>0x00</t>
        </is>
      </c>
      <c r="U46" s="178" t="inlineStr">
        <is>
          <t>0x00</t>
        </is>
      </c>
      <c r="V46" s="178" t="inlineStr">
        <is>
          <t>0x00</t>
        </is>
      </c>
      <c r="W46" s="180">
        <f>"0x"&amp;MID(D46,64,2)</f>
        <v/>
      </c>
      <c r="X46" s="180">
        <f>"0x"&amp;MID(D46,67,2)</f>
        <v/>
      </c>
      <c r="Y46" s="182">
        <f>CONCATENATE(RIGHT(G46,2)," ",RIGHT(H46,2)," ",RIGHT(I46,2)," ",RIGHT(J46,2)," ",RIGHT(K46,2)," ",RIGHT(L46,2)," ",RIGHT(M46,2)," ",RIGHT(N46,2)," ",RIGHT(O46,2)," ",RIGHT(P46,2)," ",RIGHT(Q46,2)," ",RIGHT(R46,2)," ",RIGHT(S46,2)," ",RIGHT(T46,2)," ",RIGHT(U46,2)," ",RIGHT(V46,2)," ",RIGHT(W46,2)," ",RIGHT(X46,2))</f>
        <v/>
      </c>
    </row>
    <row r="47">
      <c r="A47" s="222" t="n"/>
      <c r="B47" s="160" t="inlineStr">
        <is>
          <t>Module Sleep</t>
        </is>
      </c>
      <c r="C47" s="160" t="inlineStr">
        <is>
          <t>Settings - Wake Up</t>
        </is>
      </c>
      <c r="D47" s="160" t="inlineStr">
        <is>
          <t>55 43 49 12 00 10 10 48 00 00 00 00 00 00 00 00 00 00 00 00 00 54 AD</t>
        </is>
      </c>
      <c r="E47" s="161" t="n"/>
      <c r="F47" s="191" t="n"/>
      <c r="G47" s="192" t="inlineStr">
        <is>
          <t>0x10</t>
        </is>
      </c>
      <c r="H47" s="178" t="inlineStr">
        <is>
          <t>0x10</t>
        </is>
      </c>
      <c r="I47" s="178" t="inlineStr">
        <is>
          <t>0x48</t>
        </is>
      </c>
      <c r="J47" s="178" t="inlineStr">
        <is>
          <t>0x00</t>
        </is>
      </c>
      <c r="K47" s="178" t="inlineStr">
        <is>
          <t>0x00</t>
        </is>
      </c>
      <c r="L47" s="178" t="inlineStr">
        <is>
          <t>0x00</t>
        </is>
      </c>
      <c r="M47" s="178" t="inlineStr">
        <is>
          <t>0x00</t>
        </is>
      </c>
      <c r="N47" s="178" t="inlineStr">
        <is>
          <t>0x00</t>
        </is>
      </c>
      <c r="O47" s="178" t="inlineStr">
        <is>
          <t>0x00</t>
        </is>
      </c>
      <c r="P47" s="178" t="inlineStr">
        <is>
          <t>0x00</t>
        </is>
      </c>
      <c r="Q47" s="178" t="inlineStr">
        <is>
          <t>0x00</t>
        </is>
      </c>
      <c r="R47" s="178" t="inlineStr">
        <is>
          <t>0x00</t>
        </is>
      </c>
      <c r="S47" s="178" t="inlineStr">
        <is>
          <t>0x00</t>
        </is>
      </c>
      <c r="T47" s="178" t="inlineStr">
        <is>
          <t>0x00</t>
        </is>
      </c>
      <c r="U47" s="178" t="inlineStr">
        <is>
          <t>0x00</t>
        </is>
      </c>
      <c r="V47" s="178" t="inlineStr">
        <is>
          <t>0x00</t>
        </is>
      </c>
      <c r="W47" s="180">
        <f>"0x"&amp;MID(D47,64,2)</f>
        <v/>
      </c>
      <c r="X47" s="180">
        <f>"0x"&amp;MID(D47,67,2)</f>
        <v/>
      </c>
      <c r="Y47" s="182">
        <f>CONCATENATE(RIGHT(G47,2)," ",RIGHT(H47,2)," ",RIGHT(I47,2)," ",RIGHT(J47,2)," ",RIGHT(K47,2)," ",RIGHT(L47,2)," ",RIGHT(M47,2)," ",RIGHT(N47,2)," ",RIGHT(O47,2)," ",RIGHT(P47,2)," ",RIGHT(Q47,2)," ",RIGHT(R47,2)," ",RIGHT(S47,2)," ",RIGHT(T47,2)," ",RIGHT(U47,2)," ",RIGHT(V47,2)," ",RIGHT(W47,2)," ",RIGHT(X47,2))</f>
        <v/>
      </c>
    </row>
    <row r="48">
      <c r="A48" s="222" t="n"/>
      <c r="B48" s="223" t="n"/>
      <c r="C48" s="160" t="inlineStr">
        <is>
          <t>Settings - Sleep</t>
        </is>
      </c>
      <c r="D48" s="160" t="inlineStr">
        <is>
          <t>55 43 49 12 00 10 10 48 00 01 00 00 00 00 00 00 00 00 00 00 00 21 AE</t>
        </is>
      </c>
      <c r="E48" s="161" t="inlineStr">
        <is>
          <t>After sleeping, the video freezes and only responds to wake-up commands, all other commands are ignored</t>
        </is>
      </c>
      <c r="F48" s="191" t="n"/>
      <c r="G48" s="192" t="inlineStr">
        <is>
          <t>0x10</t>
        </is>
      </c>
      <c r="H48" s="178" t="inlineStr">
        <is>
          <t>0x10</t>
        </is>
      </c>
      <c r="I48" s="178" t="inlineStr">
        <is>
          <t>0x48</t>
        </is>
      </c>
      <c r="J48" s="178" t="inlineStr">
        <is>
          <t>0x00</t>
        </is>
      </c>
      <c r="K48" s="178" t="inlineStr">
        <is>
          <t>0x01</t>
        </is>
      </c>
      <c r="L48" s="178" t="inlineStr">
        <is>
          <t>0x00</t>
        </is>
      </c>
      <c r="M48" s="178" t="inlineStr">
        <is>
          <t>0x00</t>
        </is>
      </c>
      <c r="N48" s="178" t="inlineStr">
        <is>
          <t>0x00</t>
        </is>
      </c>
      <c r="O48" s="178" t="inlineStr">
        <is>
          <t>0x00</t>
        </is>
      </c>
      <c r="P48" s="178" t="inlineStr">
        <is>
          <t>0x00</t>
        </is>
      </c>
      <c r="Q48" s="178" t="inlineStr">
        <is>
          <t>0x00</t>
        </is>
      </c>
      <c r="R48" s="178" t="inlineStr">
        <is>
          <t>0x00</t>
        </is>
      </c>
      <c r="S48" s="178" t="inlineStr">
        <is>
          <t>0x00</t>
        </is>
      </c>
      <c r="T48" s="178" t="inlineStr">
        <is>
          <t>0x00</t>
        </is>
      </c>
      <c r="U48" s="178" t="inlineStr">
        <is>
          <t>0x00</t>
        </is>
      </c>
      <c r="V48" s="178" t="inlineStr">
        <is>
          <t>0x00</t>
        </is>
      </c>
      <c r="W48" s="180">
        <f>"0x"&amp;MID(D48,64,2)</f>
        <v/>
      </c>
      <c r="X48" s="180">
        <f>"0x"&amp;MID(D48,67,2)</f>
        <v/>
      </c>
      <c r="Y48" s="182">
        <f>CONCATENATE(RIGHT(G48,2)," ",RIGHT(H48,2)," ",RIGHT(I48,2)," ",RIGHT(J48,2)," ",RIGHT(K48,2)," ",RIGHT(L48,2)," ",RIGHT(M48,2)," ",RIGHT(N48,2)," ",RIGHT(O48,2)," ",RIGHT(P48,2)," ",RIGHT(Q48,2)," ",RIGHT(R48,2)," ",RIGHT(S48,2)," ",RIGHT(T48,2)," ",RIGHT(U48,2)," ",RIGHT(V48,2)," ",RIGHT(W48,2)," ",RIGHT(X48,2))</f>
        <v/>
      </c>
    </row>
    <row r="49" ht="28.5" customHeight="1" s="17">
      <c r="A49" s="222" t="n"/>
      <c r="B49" s="225" t="n"/>
      <c r="C49" s="160" t="inlineStr">
        <is>
          <t>Get</t>
        </is>
      </c>
      <c r="D49" s="160" t="inlineStr">
        <is>
          <t>55 43 49 12 00 10 10 88 00 00 00 00 00 00 00 00 00 01 00 00 00 21 A7</t>
        </is>
      </c>
      <c r="E49" s="161" t="inlineStr">
        <is>
          <t>BE AA 02 00 00 00 AD FA EB AA: Indicates working state
BE AA 02 00 00 01 8C EA EB AA: Indicates sleep state</t>
        </is>
      </c>
      <c r="F49" s="191" t="n"/>
      <c r="G49" s="192" t="inlineStr">
        <is>
          <t>0x10</t>
        </is>
      </c>
      <c r="H49" s="178" t="inlineStr">
        <is>
          <t>0x10</t>
        </is>
      </c>
      <c r="I49" s="178" t="inlineStr">
        <is>
          <t>0x88</t>
        </is>
      </c>
      <c r="J49" s="178" t="inlineStr">
        <is>
          <t>0x00</t>
        </is>
      </c>
      <c r="K49" s="178" t="inlineStr">
        <is>
          <t>0x00</t>
        </is>
      </c>
      <c r="L49" s="178" t="inlineStr">
        <is>
          <t>0x00</t>
        </is>
      </c>
      <c r="M49" s="178" t="inlineStr">
        <is>
          <t>0x00</t>
        </is>
      </c>
      <c r="N49" s="178" t="inlineStr">
        <is>
          <t>0x00</t>
        </is>
      </c>
      <c r="O49" s="178" t="inlineStr">
        <is>
          <t>0x00</t>
        </is>
      </c>
      <c r="P49" s="178" t="inlineStr">
        <is>
          <t>0x00</t>
        </is>
      </c>
      <c r="Q49" s="178" t="inlineStr">
        <is>
          <t>0x00</t>
        </is>
      </c>
      <c r="R49" s="178" t="inlineStr">
        <is>
          <t>0x00</t>
        </is>
      </c>
      <c r="S49" s="178" t="inlineStr">
        <is>
          <t>0x01</t>
        </is>
      </c>
      <c r="T49" s="178" t="inlineStr">
        <is>
          <t>0x00</t>
        </is>
      </c>
      <c r="U49" s="178" t="inlineStr">
        <is>
          <t>0x00</t>
        </is>
      </c>
      <c r="V49" s="178" t="inlineStr">
        <is>
          <t>0x00</t>
        </is>
      </c>
      <c r="W49" s="180">
        <f>"0x"&amp;MID(D49,64,2)</f>
        <v/>
      </c>
      <c r="X49" s="180">
        <f>"0x"&amp;MID(D49,67,2)</f>
        <v/>
      </c>
      <c r="Y49" s="182">
        <f>CONCATENATE(RIGHT(G49,2)," ",RIGHT(H49,2)," ",RIGHT(I49,2)," ",RIGHT(J49,2)," ",RIGHT(K49,2)," ",RIGHT(L49,2)," ",RIGHT(M49,2)," ",RIGHT(N49,2)," ",RIGHT(O49,2)," ",RIGHT(P49,2)," ",RIGHT(Q49,2)," ",RIGHT(R49,2)," ",RIGHT(S49,2)," ",RIGHT(T49,2)," ",RIGHT(U49,2)," ",RIGHT(V49,2)," ",RIGHT(W49,2)," ",RIGHT(X49,2))</f>
        <v/>
      </c>
    </row>
    <row r="50">
      <c r="A50" s="222" t="n"/>
      <c r="B50" s="160" t="inlineStr">
        <is>
          <t>Boot Logo</t>
        </is>
      </c>
      <c r="C50" s="160" t="inlineStr">
        <is>
          <t>Set - Off</t>
        </is>
      </c>
      <c r="D50" s="160" t="inlineStr">
        <is>
          <t>55 43 49 12 00 10 10 41 00 00 00 00 00 00 00 00 00 00 00 00 00 5E 3D</t>
        </is>
      </c>
      <c r="E50" s="161" t="n"/>
      <c r="F50" s="191" t="n"/>
      <c r="G50" s="192" t="inlineStr">
        <is>
          <t>0x10</t>
        </is>
      </c>
      <c r="H50" s="178" t="inlineStr">
        <is>
          <t>0x10</t>
        </is>
      </c>
      <c r="I50" s="178" t="inlineStr">
        <is>
          <t>0x41</t>
        </is>
      </c>
      <c r="J50" s="178" t="inlineStr">
        <is>
          <t>0x00</t>
        </is>
      </c>
      <c r="K50" s="178" t="inlineStr">
        <is>
          <t>0x00</t>
        </is>
      </c>
      <c r="L50" s="178" t="inlineStr">
        <is>
          <t>0x00</t>
        </is>
      </c>
      <c r="M50" s="178" t="inlineStr">
        <is>
          <t>0x00</t>
        </is>
      </c>
      <c r="N50" s="178" t="inlineStr">
        <is>
          <t>0x00</t>
        </is>
      </c>
      <c r="O50" s="178" t="inlineStr">
        <is>
          <t>0x00</t>
        </is>
      </c>
      <c r="P50" s="178" t="inlineStr">
        <is>
          <t>0x00</t>
        </is>
      </c>
      <c r="Q50" s="178" t="inlineStr">
        <is>
          <t>0x00</t>
        </is>
      </c>
      <c r="R50" s="178" t="inlineStr">
        <is>
          <t>0x00</t>
        </is>
      </c>
      <c r="S50" s="178" t="inlineStr">
        <is>
          <t>0x00</t>
        </is>
      </c>
      <c r="T50" s="178" t="inlineStr">
        <is>
          <t>0x00</t>
        </is>
      </c>
      <c r="U50" s="178" t="inlineStr">
        <is>
          <t>0x00</t>
        </is>
      </c>
      <c r="V50" s="178" t="inlineStr">
        <is>
          <t>0x00</t>
        </is>
      </c>
      <c r="W50" s="180">
        <f>"0x"&amp;MID(D50,64,2)</f>
        <v/>
      </c>
      <c r="X50" s="180">
        <f>"0x"&amp;MID(D50,67,2)</f>
        <v/>
      </c>
      <c r="Y50" s="182">
        <f>CONCATENATE(RIGHT(G50,2)," ",RIGHT(H50,2)," ",RIGHT(I50,2)," ",RIGHT(J50,2)," ",RIGHT(K50,2)," ",RIGHT(L50,2)," ",RIGHT(M50,2)," ",RIGHT(N50,2)," ",RIGHT(O50,2)," ",RIGHT(P50,2)," ",RIGHT(Q50,2)," ",RIGHT(R50,2)," ",RIGHT(S50,2)," ",RIGHT(T50,2)," ",RIGHT(U50,2)," ",RIGHT(V50,2)," ",RIGHT(W50,2)," ",RIGHT(X50,2))</f>
        <v/>
      </c>
    </row>
    <row r="51">
      <c r="A51" s="222" t="n"/>
      <c r="B51" s="223" t="n"/>
      <c r="C51" s="160" t="inlineStr">
        <is>
          <t>Set - On</t>
        </is>
      </c>
      <c r="D51" s="160" t="inlineStr">
        <is>
          <t>55 43 49 12 00 10 10 41 00 01 00 00 00 00 00 00 00 00 00 00 00 2B 3E</t>
        </is>
      </c>
      <c r="E51" s="161" t="n"/>
      <c r="F51" s="191" t="n"/>
      <c r="G51" s="192" t="inlineStr">
        <is>
          <t>0x10</t>
        </is>
      </c>
      <c r="H51" s="178" t="inlineStr">
        <is>
          <t>0x10</t>
        </is>
      </c>
      <c r="I51" s="178" t="inlineStr">
        <is>
          <t>0x41</t>
        </is>
      </c>
      <c r="J51" s="178" t="inlineStr">
        <is>
          <t>0x00</t>
        </is>
      </c>
      <c r="K51" s="178" t="inlineStr">
        <is>
          <t>0x01</t>
        </is>
      </c>
      <c r="L51" s="178" t="inlineStr">
        <is>
          <t>0x00</t>
        </is>
      </c>
      <c r="M51" s="178" t="inlineStr">
        <is>
          <t>0x00</t>
        </is>
      </c>
      <c r="N51" s="178" t="inlineStr">
        <is>
          <t>0x00</t>
        </is>
      </c>
      <c r="O51" s="178" t="inlineStr">
        <is>
          <t>0x00</t>
        </is>
      </c>
      <c r="P51" s="178" t="inlineStr">
        <is>
          <t>0x00</t>
        </is>
      </c>
      <c r="Q51" s="178" t="inlineStr">
        <is>
          <t>0x00</t>
        </is>
      </c>
      <c r="R51" s="178" t="inlineStr">
        <is>
          <t>0x00</t>
        </is>
      </c>
      <c r="S51" s="178" t="inlineStr">
        <is>
          <t>0x00</t>
        </is>
      </c>
      <c r="T51" s="178" t="inlineStr">
        <is>
          <t>0x00</t>
        </is>
      </c>
      <c r="U51" s="178" t="inlineStr">
        <is>
          <t>0x00</t>
        </is>
      </c>
      <c r="V51" s="178" t="inlineStr">
        <is>
          <t>0x00</t>
        </is>
      </c>
      <c r="W51" s="180">
        <f>"0x"&amp;MID(D51,64,2)</f>
        <v/>
      </c>
      <c r="X51" s="180">
        <f>"0x"&amp;MID(D51,67,2)</f>
        <v/>
      </c>
      <c r="Y51" s="182">
        <f>CONCATENATE(RIGHT(G51,2)," ",RIGHT(H51,2)," ",RIGHT(I51,2)," ",RIGHT(J51,2)," ",RIGHT(K51,2)," ",RIGHT(L51,2)," ",RIGHT(M51,2)," ",RIGHT(N51,2)," ",RIGHT(O51,2)," ",RIGHT(P51,2)," ",RIGHT(Q51,2)," ",RIGHT(R51,2)," ",RIGHT(S51,2)," ",RIGHT(T51,2)," ",RIGHT(U51,2)," ",RIGHT(V51,2)," ",RIGHT(W51,2)," ",RIGHT(X51,2))</f>
        <v/>
      </c>
    </row>
    <row r="52">
      <c r="A52" s="222" t="n"/>
      <c r="B52" s="225" t="n"/>
      <c r="C52" s="160" t="inlineStr">
        <is>
          <t>Get</t>
        </is>
      </c>
      <c r="D52" s="160" t="inlineStr">
        <is>
          <t>55 43 49 12 00 10 10 81 00 00 00 00 00 00 00 00 00 01 00 00 00 2B 37</t>
        </is>
      </c>
      <c r="E52" s="161" t="n"/>
      <c r="F52" s="191" t="n"/>
      <c r="G52" s="192" t="inlineStr">
        <is>
          <t>0x10</t>
        </is>
      </c>
      <c r="H52" s="178" t="inlineStr">
        <is>
          <t>0x10</t>
        </is>
      </c>
      <c r="I52" s="178" t="inlineStr">
        <is>
          <t>0x81</t>
        </is>
      </c>
      <c r="J52" s="178" t="inlineStr">
        <is>
          <t>0x00</t>
        </is>
      </c>
      <c r="K52" s="178" t="inlineStr">
        <is>
          <t>0x00</t>
        </is>
      </c>
      <c r="L52" s="178" t="inlineStr">
        <is>
          <t>0x00</t>
        </is>
      </c>
      <c r="M52" s="178" t="inlineStr">
        <is>
          <t>0x00</t>
        </is>
      </c>
      <c r="N52" s="178" t="inlineStr">
        <is>
          <t>0x00</t>
        </is>
      </c>
      <c r="O52" s="178" t="inlineStr">
        <is>
          <t>0x00</t>
        </is>
      </c>
      <c r="P52" s="178" t="inlineStr">
        <is>
          <t>0x00</t>
        </is>
      </c>
      <c r="Q52" s="178" t="inlineStr">
        <is>
          <t>0x00</t>
        </is>
      </c>
      <c r="R52" s="178" t="inlineStr">
        <is>
          <t>0x00</t>
        </is>
      </c>
      <c r="S52" s="178" t="inlineStr">
        <is>
          <t>0x01</t>
        </is>
      </c>
      <c r="T52" s="178" t="inlineStr">
        <is>
          <t>0x00</t>
        </is>
      </c>
      <c r="U52" s="178" t="inlineStr">
        <is>
          <t>0x00</t>
        </is>
      </c>
      <c r="V52" s="178" t="inlineStr">
        <is>
          <t>0x00</t>
        </is>
      </c>
      <c r="W52" s="180">
        <f>"0x"&amp;MID(D52,64,2)</f>
        <v/>
      </c>
      <c r="X52" s="180">
        <f>"0x"&amp;MID(D52,67,2)</f>
        <v/>
      </c>
      <c r="Y52" s="182">
        <f>CONCATENATE(RIGHT(G52,2)," ",RIGHT(H52,2)," ",RIGHT(I52,2)," ",RIGHT(J52,2)," ",RIGHT(K52,2)," ",RIGHT(L52,2)," ",RIGHT(M52,2)," ",RIGHT(N52,2)," ",RIGHT(O52,2)," ",RIGHT(P52,2)," ",RIGHT(Q52,2)," ",RIGHT(R52,2)," ",RIGHT(S52,2)," ",RIGHT(T52,2)," ",RIGHT(U52,2)," ",RIGHT(V52,2)," ",RIGHT(W52,2)," ",RIGHT(X52,2))</f>
        <v/>
      </c>
    </row>
    <row r="53">
      <c r="A53" s="222" t="n"/>
      <c r="B53" s="160" t="inlineStr">
        <is>
          <t>DVP/I2C Voltage Switch</t>
        </is>
      </c>
      <c r="C53" s="160" t="inlineStr">
        <is>
          <t>Settings - 1.8V</t>
        </is>
      </c>
      <c r="D53" s="160" t="inlineStr">
        <is>
          <t>55 43 49 12 00 10 10 47 00 00 00 00 00 00 00 00 00 00 00 00 00 39 36</t>
        </is>
      </c>
      <c r="E53" s="161" t="n"/>
      <c r="F53" s="191" t="n"/>
      <c r="G53" s="192" t="inlineStr">
        <is>
          <t>0x10</t>
        </is>
      </c>
      <c r="H53" s="178" t="inlineStr">
        <is>
          <t>0x10</t>
        </is>
      </c>
      <c r="I53" s="178" t="inlineStr">
        <is>
          <t>0x47</t>
        </is>
      </c>
      <c r="J53" s="178" t="inlineStr">
        <is>
          <t>0x00</t>
        </is>
      </c>
      <c r="K53" s="178" t="inlineStr">
        <is>
          <t>0x00</t>
        </is>
      </c>
      <c r="L53" s="178" t="inlineStr">
        <is>
          <t>0x00</t>
        </is>
      </c>
      <c r="M53" s="178" t="inlineStr">
        <is>
          <t>0x00</t>
        </is>
      </c>
      <c r="N53" s="178" t="inlineStr">
        <is>
          <t>0x00</t>
        </is>
      </c>
      <c r="O53" s="178" t="inlineStr">
        <is>
          <t>0x00</t>
        </is>
      </c>
      <c r="P53" s="178" t="inlineStr">
        <is>
          <t>0x00</t>
        </is>
      </c>
      <c r="Q53" s="178" t="inlineStr">
        <is>
          <t>0x00</t>
        </is>
      </c>
      <c r="R53" s="178" t="inlineStr">
        <is>
          <t>0x00</t>
        </is>
      </c>
      <c r="S53" s="178" t="inlineStr">
        <is>
          <t>0x00</t>
        </is>
      </c>
      <c r="T53" s="178" t="inlineStr">
        <is>
          <t>0x00</t>
        </is>
      </c>
      <c r="U53" s="178" t="inlineStr">
        <is>
          <t>0x00</t>
        </is>
      </c>
      <c r="V53" s="178" t="inlineStr">
        <is>
          <t>0x00</t>
        </is>
      </c>
      <c r="W53" s="180">
        <f>"0x"&amp;MID(D53,64,2)</f>
        <v/>
      </c>
      <c r="X53" s="180">
        <f>"0x"&amp;MID(D53,67,2)</f>
        <v/>
      </c>
      <c r="Y53" s="182">
        <f>CONCATENATE(RIGHT(G53,2)," ",RIGHT(H53,2)," ",RIGHT(I53,2)," ",RIGHT(J53,2)," ",RIGHT(K53,2)," ",RIGHT(L53,2)," ",RIGHT(M53,2)," ",RIGHT(N53,2)," ",RIGHT(O53,2)," ",RIGHT(P53,2)," ",RIGHT(Q53,2)," ",RIGHT(R53,2)," ",RIGHT(S53,2)," ",RIGHT(T53,2)," ",RIGHT(U53,2)," ",RIGHT(V53,2)," ",RIGHT(W53,2)," ",RIGHT(X53,2))</f>
        <v/>
      </c>
    </row>
    <row r="54">
      <c r="A54" s="222" t="n"/>
      <c r="B54" s="223" t="n"/>
      <c r="C54" s="160" t="inlineStr">
        <is>
          <t>Settings - 3.3V</t>
        </is>
      </c>
      <c r="D54" s="160" t="inlineStr">
        <is>
          <t>55 43 49 12 00 10 10 47 00 01 00 00 00 00 00 00 00 00 00 00 00 4C 35</t>
        </is>
      </c>
      <c r="E54" s="161" t="n"/>
      <c r="F54" s="191" t="n"/>
      <c r="G54" s="192" t="inlineStr">
        <is>
          <t>0x10</t>
        </is>
      </c>
      <c r="H54" s="178" t="inlineStr">
        <is>
          <t>0x10</t>
        </is>
      </c>
      <c r="I54" s="178" t="inlineStr">
        <is>
          <t>0x47</t>
        </is>
      </c>
      <c r="J54" s="178" t="inlineStr">
        <is>
          <t>0x00</t>
        </is>
      </c>
      <c r="K54" s="178" t="inlineStr">
        <is>
          <t>0x01</t>
        </is>
      </c>
      <c r="L54" s="178" t="inlineStr">
        <is>
          <t>0x00</t>
        </is>
      </c>
      <c r="M54" s="178" t="inlineStr">
        <is>
          <t>0x00</t>
        </is>
      </c>
      <c r="N54" s="178" t="inlineStr">
        <is>
          <t>0x00</t>
        </is>
      </c>
      <c r="O54" s="178" t="inlineStr">
        <is>
          <t>0x00</t>
        </is>
      </c>
      <c r="P54" s="178" t="inlineStr">
        <is>
          <t>0x00</t>
        </is>
      </c>
      <c r="Q54" s="178" t="inlineStr">
        <is>
          <t>0x00</t>
        </is>
      </c>
      <c r="R54" s="178" t="inlineStr">
        <is>
          <t>0x00</t>
        </is>
      </c>
      <c r="S54" s="178" t="inlineStr">
        <is>
          <t>0x00</t>
        </is>
      </c>
      <c r="T54" s="178" t="inlineStr">
        <is>
          <t>0x00</t>
        </is>
      </c>
      <c r="U54" s="178" t="inlineStr">
        <is>
          <t>0x00</t>
        </is>
      </c>
      <c r="V54" s="178" t="inlineStr">
        <is>
          <t>0x00</t>
        </is>
      </c>
      <c r="W54" s="180">
        <f>"0x"&amp;MID(D54,64,2)</f>
        <v/>
      </c>
      <c r="X54" s="180">
        <f>"0x"&amp;MID(D54,67,2)</f>
        <v/>
      </c>
      <c r="Y54" s="182">
        <f>CONCATENATE(RIGHT(G54,2)," ",RIGHT(H54,2)," ",RIGHT(I54,2)," ",RIGHT(J54,2)," ",RIGHT(K54,2)," ",RIGHT(L54,2)," ",RIGHT(M54,2)," ",RIGHT(N54,2)," ",RIGHT(O54,2)," ",RIGHT(P54,2)," ",RIGHT(Q54,2)," ",RIGHT(R54,2)," ",RIGHT(S54,2)," ",RIGHT(T54,2)," ",RIGHT(U54,2)," ",RIGHT(V54,2)," ",RIGHT(W54,2)," ",RIGHT(X54,2))</f>
        <v/>
      </c>
    </row>
    <row r="55" ht="15.75" customHeight="1" s="17">
      <c r="A55" s="222" t="n"/>
      <c r="B55" s="225" t="n"/>
      <c r="C55" s="160" t="inlineStr">
        <is>
          <t>Get</t>
        </is>
      </c>
      <c r="D55" s="160" t="inlineStr">
        <is>
          <t>55 43 49 12 00 10 10 87 00 00 00 00 00 00 00 00 00 01 00 00 00 4C 3C</t>
        </is>
      </c>
      <c r="E55" s="161" t="n"/>
      <c r="F55" s="191" t="n"/>
      <c r="G55" s="192" t="inlineStr">
        <is>
          <t>0x10</t>
        </is>
      </c>
      <c r="H55" s="178" t="inlineStr">
        <is>
          <t>0x10</t>
        </is>
      </c>
      <c r="I55" s="178" t="inlineStr">
        <is>
          <t>0x87</t>
        </is>
      </c>
      <c r="J55" s="178" t="inlineStr">
        <is>
          <t>0x00</t>
        </is>
      </c>
      <c r="K55" s="179" t="inlineStr">
        <is>
          <t>0x00</t>
        </is>
      </c>
      <c r="L55" s="178" t="inlineStr">
        <is>
          <t>0x00</t>
        </is>
      </c>
      <c r="M55" s="178" t="inlineStr">
        <is>
          <t>0x00</t>
        </is>
      </c>
      <c r="N55" s="178" t="inlineStr">
        <is>
          <t>0x00</t>
        </is>
      </c>
      <c r="O55" s="178" t="inlineStr">
        <is>
          <t>0x00</t>
        </is>
      </c>
      <c r="P55" s="178" t="inlineStr">
        <is>
          <t>0x00</t>
        </is>
      </c>
      <c r="Q55" s="178" t="inlineStr">
        <is>
          <t>0x00</t>
        </is>
      </c>
      <c r="R55" s="178" t="inlineStr">
        <is>
          <t>0x00</t>
        </is>
      </c>
      <c r="S55" s="178" t="inlineStr">
        <is>
          <t>0x01</t>
        </is>
      </c>
      <c r="T55" s="178" t="inlineStr">
        <is>
          <t>0x00</t>
        </is>
      </c>
      <c r="U55" s="178" t="inlineStr">
        <is>
          <t>0x00</t>
        </is>
      </c>
      <c r="V55" s="178" t="inlineStr">
        <is>
          <t>0x00</t>
        </is>
      </c>
      <c r="W55" s="180">
        <f>"0x"&amp;MID(D55,64,2)</f>
        <v/>
      </c>
      <c r="X55" s="180">
        <f>"0x"&amp;MID(D55,67,2)</f>
        <v/>
      </c>
      <c r="Y55" s="182">
        <f>CONCATENATE(RIGHT(G55,2)," ",RIGHT(H55,2)," ",RIGHT(I55,2)," ",RIGHT(J55,2)," ",RIGHT(K55,2)," ",RIGHT(L55,2)," ",RIGHT(M55,2)," ",RIGHT(N55,2)," ",RIGHT(O55,2)," ",RIGHT(P55,2)," ",RIGHT(Q55,2)," ",RIGHT(R55,2)," ",RIGHT(S55,2)," ",RIGHT(T55,2)," ",RIGHT(U55,2)," ",RIGHT(V55,2)," ",RIGHT(W55,2)," ",RIGHT(X55,2))</f>
        <v/>
      </c>
    </row>
    <row r="56" ht="37.5" customHeight="1" s="17">
      <c r="A56" s="222" t="n"/>
      <c r="B56" s="160" t="inlineStr">
        <is>
          <t>Parameter Save - Restore</t>
        </is>
      </c>
      <c r="C56" s="160" t="inlineStr">
        <is>
          <t>Parameter Save</t>
        </is>
      </c>
      <c r="D56" s="160" t="inlineStr">
        <is>
          <t>55 43 49 12 00 10 10 51 00 00 00 00 00 00 00 00 00 00 00 00 00 A9 FB</t>
        </is>
      </c>
      <c r="E56" s="161" t="n"/>
      <c r="F56" s="191" t="n"/>
      <c r="G56" s="192" t="inlineStr">
        <is>
          <t>0x10</t>
        </is>
      </c>
      <c r="H56" s="178" t="inlineStr">
        <is>
          <t>0x10</t>
        </is>
      </c>
      <c r="I56" s="178" t="inlineStr">
        <is>
          <t>0x51</t>
        </is>
      </c>
      <c r="J56" s="178" t="inlineStr">
        <is>
          <t>0x00</t>
        </is>
      </c>
      <c r="K56" s="178" t="inlineStr">
        <is>
          <t>0x00</t>
        </is>
      </c>
      <c r="L56" s="178" t="inlineStr">
        <is>
          <t>0x00</t>
        </is>
      </c>
      <c r="M56" s="178" t="inlineStr">
        <is>
          <t>0x00</t>
        </is>
      </c>
      <c r="N56" s="178" t="inlineStr">
        <is>
          <t>0x00</t>
        </is>
      </c>
      <c r="O56" s="178" t="inlineStr">
        <is>
          <t>0x00</t>
        </is>
      </c>
      <c r="P56" s="178" t="inlineStr">
        <is>
          <t>0x00</t>
        </is>
      </c>
      <c r="Q56" s="178" t="inlineStr">
        <is>
          <t>0x00</t>
        </is>
      </c>
      <c r="R56" s="178" t="inlineStr">
        <is>
          <t>0x00</t>
        </is>
      </c>
      <c r="S56" s="178" t="inlineStr">
        <is>
          <t>0x00</t>
        </is>
      </c>
      <c r="T56" s="178" t="inlineStr">
        <is>
          <t>0x00</t>
        </is>
      </c>
      <c r="U56" s="178" t="inlineStr">
        <is>
          <t>0x00</t>
        </is>
      </c>
      <c r="V56" s="178" t="inlineStr">
        <is>
          <t>0x00</t>
        </is>
      </c>
      <c r="W56" s="180">
        <f>"0x"&amp;MID(D56,64,2)</f>
        <v/>
      </c>
      <c r="X56" s="180">
        <f>"0x"&amp;MID(D56,67,2)</f>
        <v/>
      </c>
      <c r="Y56" s="182">
        <f>CONCATENATE(RIGHT(G56,2)," ",RIGHT(H56,2)," ",RIGHT(I56,2)," ",RIGHT(J56,2)," ",RIGHT(K56,2)," ",RIGHT(L56,2)," ",RIGHT(M56,2)," ",RIGHT(N56,2)," ",RIGHT(O56,2)," ",RIGHT(P56,2)," ",RIGHT(Q56,2)," ",RIGHT(R56,2)," ",RIGHT(S56,2)," ",RIGHT(T56,2)," ",RIGHT(U56,2)," ",RIGHT(V56,2)," ",RIGHT(W56,2)," ",RIGHT(X56,2))</f>
        <v/>
      </c>
    </row>
    <row r="57" ht="37.5" customHeight="1" s="17">
      <c r="A57" s="227" t="n"/>
      <c r="B57" s="225" t="n"/>
      <c r="C57" s="174" t="inlineStr">
        <is>
          <t>Parameter Restore</t>
        </is>
      </c>
      <c r="D57" s="174" t="inlineStr">
        <is>
          <t>55 43 49 12 00 10 10 52 00 00 00 00 00 00 00 00 00 00 00 00 00 0A 76</t>
        </is>
      </c>
      <c r="E57" s="168" t="n"/>
      <c r="F57" s="191" t="n"/>
      <c r="G57" s="192" t="inlineStr">
        <is>
          <t>0x10</t>
        </is>
      </c>
      <c r="H57" s="178" t="inlineStr">
        <is>
          <t>0x10</t>
        </is>
      </c>
      <c r="I57" s="178" t="inlineStr">
        <is>
          <t>0x52</t>
        </is>
      </c>
      <c r="J57" s="178" t="inlineStr">
        <is>
          <t>0x00</t>
        </is>
      </c>
      <c r="K57" s="178" t="inlineStr">
        <is>
          <t>0x00</t>
        </is>
      </c>
      <c r="L57" s="178" t="inlineStr">
        <is>
          <t>0x00</t>
        </is>
      </c>
      <c r="M57" s="178" t="inlineStr">
        <is>
          <t>0x00</t>
        </is>
      </c>
      <c r="N57" s="178" t="inlineStr">
        <is>
          <t>0x00</t>
        </is>
      </c>
      <c r="O57" s="178" t="inlineStr">
        <is>
          <t>0x00</t>
        </is>
      </c>
      <c r="P57" s="178" t="inlineStr">
        <is>
          <t>0x00</t>
        </is>
      </c>
      <c r="Q57" s="178" t="inlineStr">
        <is>
          <t>0x00</t>
        </is>
      </c>
      <c r="R57" s="178" t="inlineStr">
        <is>
          <t>0x00</t>
        </is>
      </c>
      <c r="S57" s="178" t="inlineStr">
        <is>
          <t>0x00</t>
        </is>
      </c>
      <c r="T57" s="178" t="inlineStr">
        <is>
          <t>0x00</t>
        </is>
      </c>
      <c r="U57" s="178" t="inlineStr">
        <is>
          <t>0x00</t>
        </is>
      </c>
      <c r="V57" s="178" t="inlineStr">
        <is>
          <t>0x00</t>
        </is>
      </c>
      <c r="W57" s="180">
        <f>"0x"&amp;MID(D57,64,2)</f>
        <v/>
      </c>
      <c r="X57" s="180">
        <f>"0x"&amp;MID(D57,67,2)</f>
        <v/>
      </c>
      <c r="Y57" s="182">
        <f>CONCATENATE(RIGHT(G57,2)," ",RIGHT(H57,2)," ",RIGHT(I57,2)," ",RIGHT(J57,2)," ",RIGHT(K57,2)," ",RIGHT(L57,2)," ",RIGHT(M57,2)," ",RIGHT(N57,2)," ",RIGHT(O57,2)," ",RIGHT(P57,2)," ",RIGHT(Q57,2)," ",RIGHT(R57,2)," ",RIGHT(S57,2)," ",RIGHT(T57,2)," ",RIGHT(U57,2)," ",RIGHT(V57,2)," ",RIGHT(W57,2)," ",RIGHT(X57,2))</f>
        <v/>
      </c>
    </row>
    <row r="58" ht="42.75" customHeight="1" s="17">
      <c r="A58" s="175" t="inlineStr">
        <is>
          <t>Get Device Information</t>
        </is>
      </c>
      <c r="B58" s="186" t="inlineStr">
        <is>
          <t>Get Module Information</t>
        </is>
      </c>
      <c r="C58" s="186" t="inlineStr">
        <is>
          <t>Device Name</t>
        </is>
      </c>
      <c r="D58" s="186" t="inlineStr">
        <is>
          <t>55 43 49 12 00 01 01 81 00 01 00 00 00 00 00 00 00 20 00 00 00 FC 1E</t>
        </is>
      </c>
      <c r="E58" s="187" t="inlineStr">
        <is>
          <t>Receipt: BE AA 21 00 00 43 61 6D 65 72 61 20 4D 49 4E 49 32 33 38 34 00 00 00 00 00 00 00 00 00 00 00 00 00 00 00 00 00 16 1A EB AA
Device name: Camera MINI2384, mini2 series device name is 15 valid bytes</t>
        </is>
      </c>
      <c r="F58" s="191" t="n"/>
      <c r="G58" s="192" t="inlineStr">
        <is>
          <t>0x01</t>
        </is>
      </c>
      <c r="H58" s="178" t="inlineStr">
        <is>
          <t>0x01</t>
        </is>
      </c>
      <c r="I58" s="178" t="inlineStr">
        <is>
          <t>0x81</t>
        </is>
      </c>
      <c r="J58" s="178" t="inlineStr">
        <is>
          <t>0x00</t>
        </is>
      </c>
      <c r="K58" s="178" t="inlineStr">
        <is>
          <t>0x01</t>
        </is>
      </c>
      <c r="L58" s="178" t="inlineStr">
        <is>
          <t>0x00</t>
        </is>
      </c>
      <c r="M58" s="178" t="inlineStr">
        <is>
          <t>0x00</t>
        </is>
      </c>
      <c r="N58" s="178" t="inlineStr">
        <is>
          <t>0x00</t>
        </is>
      </c>
      <c r="O58" s="178" t="inlineStr">
        <is>
          <t>0x00</t>
        </is>
      </c>
      <c r="P58" s="178" t="inlineStr">
        <is>
          <t>0x00</t>
        </is>
      </c>
      <c r="Q58" s="178" t="inlineStr">
        <is>
          <t>0x00</t>
        </is>
      </c>
      <c r="R58" s="178" t="inlineStr">
        <is>
          <t>0x00</t>
        </is>
      </c>
      <c r="S58" s="178" t="inlineStr">
        <is>
          <t>0x20</t>
        </is>
      </c>
      <c r="T58" s="178" t="inlineStr">
        <is>
          <t>0x00</t>
        </is>
      </c>
      <c r="U58" s="178" t="inlineStr">
        <is>
          <t>0x00</t>
        </is>
      </c>
      <c r="V58" s="178" t="inlineStr">
        <is>
          <t>0x00</t>
        </is>
      </c>
      <c r="W58" s="180">
        <f>"0x"&amp;MID(D58,64,2)</f>
        <v/>
      </c>
      <c r="X58" s="180">
        <f>"0x"&amp;MID(D58,67,2)</f>
        <v/>
      </c>
      <c r="Y58" s="182">
        <f>CONCATENATE(RIGHT(G58,2)," ",RIGHT(H58,2)," ",RIGHT(I58,2)," ",RIGHT(J58,2)," ",RIGHT(K58,2)," ",RIGHT(L58,2)," ",RIGHT(M58,2)," ",RIGHT(N58,2)," ",RIGHT(O58,2)," ",RIGHT(P58,2)," ",RIGHT(Q58,2)," ",RIGHT(R58,2)," ",RIGHT(S58,2)," ",RIGHT(T58,2)," ",RIGHT(U58,2)," ",RIGHT(V58,2)," ",RIGHT(W58,2)," ",RIGHT(X58,2))</f>
        <v/>
      </c>
    </row>
    <row r="59" ht="28.5" customHeight="1" s="17">
      <c r="A59" s="222" t="n"/>
      <c r="B59" s="223" t="n"/>
      <c r="C59" s="160" t="inlineStr">
        <is>
          <t>Firmware Version</t>
        </is>
      </c>
      <c r="D59" s="160" t="inlineStr">
        <is>
          <t>55 43 49 12 00 01 01 81 00 02 00 00 00 00 00 00 00 0B 00 00 00 32 32</t>
        </is>
      </c>
      <c r="E59" s="161" t="inlineStr">
        <is>
          <t>Receipt: BE AA 0C 00 00 30 30 2E 30 30 2E 30 31 2E 31 31 0A FE EB AA 
FW version: 00.00.01.11</t>
        </is>
      </c>
      <c r="F59" s="191" t="n"/>
      <c r="G59" s="192" t="inlineStr">
        <is>
          <t>0x01</t>
        </is>
      </c>
      <c r="H59" s="178" t="inlineStr">
        <is>
          <t>0x01</t>
        </is>
      </c>
      <c r="I59" s="178" t="inlineStr">
        <is>
          <t>0x81</t>
        </is>
      </c>
      <c r="J59" s="178" t="inlineStr">
        <is>
          <t>0x00</t>
        </is>
      </c>
      <c r="K59" s="178" t="inlineStr">
        <is>
          <t>0x02</t>
        </is>
      </c>
      <c r="L59" s="178" t="inlineStr">
        <is>
          <t>0x00</t>
        </is>
      </c>
      <c r="M59" s="178" t="inlineStr">
        <is>
          <t>0x00</t>
        </is>
      </c>
      <c r="N59" s="178" t="inlineStr">
        <is>
          <t>0x00</t>
        </is>
      </c>
      <c r="O59" s="178" t="inlineStr">
        <is>
          <t>0x00</t>
        </is>
      </c>
      <c r="P59" s="178" t="inlineStr">
        <is>
          <t>0x00</t>
        </is>
      </c>
      <c r="Q59" s="178" t="inlineStr">
        <is>
          <t>0x00</t>
        </is>
      </c>
      <c r="R59" s="178" t="inlineStr">
        <is>
          <t>0x00</t>
        </is>
      </c>
      <c r="S59" s="178" t="inlineStr">
        <is>
          <t>0x0B</t>
        </is>
      </c>
      <c r="T59" s="178" t="inlineStr">
        <is>
          <t>0x00</t>
        </is>
      </c>
      <c r="U59" s="178" t="inlineStr">
        <is>
          <t>0x00</t>
        </is>
      </c>
      <c r="V59" s="178" t="inlineStr">
        <is>
          <t>0x00</t>
        </is>
      </c>
      <c r="W59" s="180">
        <f>"0x"&amp;MID(D59,64,2)</f>
        <v/>
      </c>
      <c r="X59" s="180">
        <f>"0x"&amp;MID(D59,67,2)</f>
        <v/>
      </c>
      <c r="Y59" s="182">
        <f>CONCATENATE(RIGHT(G59,2)," ",RIGHT(H59,2)," ",RIGHT(I59,2)," ",RIGHT(J59,2)," ",RIGHT(K59,2)," ",RIGHT(L59,2)," ",RIGHT(M59,2)," ",RIGHT(N59,2)," ",RIGHT(O59,2)," ",RIGHT(P59,2)," ",RIGHT(Q59,2)," ",RIGHT(R59,2)," ",RIGHT(S59,2)," ",RIGHT(T59,2)," ",RIGHT(U59,2)," ",RIGHT(V59,2)," ",RIGHT(W59,2)," ",RIGHT(X59,2))</f>
        <v/>
      </c>
    </row>
    <row r="60" ht="28.5" customHeight="1" s="17">
      <c r="A60" s="222" t="n"/>
      <c r="B60" s="223" t="n"/>
      <c r="C60" s="160" t="inlineStr">
        <is>
          <t>VID</t>
        </is>
      </c>
      <c r="D60" s="160" t="inlineStr">
        <is>
          <t>55 43 49 12 00 01 01 81 00 04 00 00 00 00 00 00 00 02 00 00 00 7B CA</t>
        </is>
      </c>
      <c r="E60" s="161" t="inlineStr">
        <is>
          <t>Receipt: BE AA 03 00 00 74 34 4E FB EB AA  
vid: 0x3474</t>
        </is>
      </c>
      <c r="F60" s="191" t="n"/>
      <c r="G60" s="192" t="inlineStr">
        <is>
          <t>0x01</t>
        </is>
      </c>
      <c r="H60" s="178" t="inlineStr">
        <is>
          <t>0x01</t>
        </is>
      </c>
      <c r="I60" s="178" t="inlineStr">
        <is>
          <t>0x81</t>
        </is>
      </c>
      <c r="J60" s="178" t="inlineStr">
        <is>
          <t>0x00</t>
        </is>
      </c>
      <c r="K60" s="178" t="inlineStr">
        <is>
          <t>0x04</t>
        </is>
      </c>
      <c r="L60" s="178" t="inlineStr">
        <is>
          <t>0x00</t>
        </is>
      </c>
      <c r="M60" s="178" t="inlineStr">
        <is>
          <t>0x00</t>
        </is>
      </c>
      <c r="N60" s="178" t="inlineStr">
        <is>
          <t>0x00</t>
        </is>
      </c>
      <c r="O60" s="178" t="inlineStr">
        <is>
          <t>0x00</t>
        </is>
      </c>
      <c r="P60" s="178" t="inlineStr">
        <is>
          <t>0x00</t>
        </is>
      </c>
      <c r="Q60" s="178" t="inlineStr">
        <is>
          <t>0x00</t>
        </is>
      </c>
      <c r="R60" s="178" t="inlineStr">
        <is>
          <t>0x00</t>
        </is>
      </c>
      <c r="S60" s="178" t="inlineStr">
        <is>
          <t>0X02</t>
        </is>
      </c>
      <c r="T60" s="178" t="inlineStr">
        <is>
          <t>0x00</t>
        </is>
      </c>
      <c r="U60" s="178" t="inlineStr">
        <is>
          <t>0x00</t>
        </is>
      </c>
      <c r="V60" s="178" t="inlineStr">
        <is>
          <t>0x00</t>
        </is>
      </c>
      <c r="W60" s="180">
        <f>"0x"&amp;MID(D60,64,2)</f>
        <v/>
      </c>
      <c r="X60" s="180">
        <f>"0x"&amp;MID(D60,67,2)</f>
        <v/>
      </c>
      <c r="Y60" s="182">
        <f>CONCATENATE(RIGHT(G60,2)," ",RIGHT(H60,2)," ",RIGHT(I60,2)," ",RIGHT(J60,2)," ",RIGHT(K60,2)," ",RIGHT(L60,2)," ",RIGHT(M60,2)," ",RIGHT(N60,2)," ",RIGHT(O60,2)," ",RIGHT(P60,2)," ",RIGHT(Q60,2)," ",RIGHT(R60,2)," ",RIGHT(S60,2)," ",RIGHT(T60,2)," ",RIGHT(U60,2)," ",RIGHT(V60,2)," ",RIGHT(W60,2)," ",RIGHT(X60,2))</f>
        <v/>
      </c>
    </row>
    <row r="61" ht="28.5" customHeight="1" s="17">
      <c r="A61" s="222" t="n"/>
      <c r="B61" s="223" t="n"/>
      <c r="C61" s="160" t="inlineStr">
        <is>
          <t>PID</t>
        </is>
      </c>
      <c r="D61" s="160" t="inlineStr">
        <is>
          <t>55 43 49 12 00 01 01 81 00 05 00 00 00 00 00 00 00 02 00 00 00 0E C9</t>
        </is>
      </c>
      <c r="E61" s="161" t="inlineStr">
        <is>
          <t>Receipt: BE AA 03 00 00 20 00 E2 4F EB AA 
pid: 0x0020</t>
        </is>
      </c>
      <c r="F61" s="191" t="n"/>
      <c r="G61" s="192" t="inlineStr">
        <is>
          <t>0x01</t>
        </is>
      </c>
      <c r="H61" s="178" t="inlineStr">
        <is>
          <t>0x01</t>
        </is>
      </c>
      <c r="I61" s="178" t="inlineStr">
        <is>
          <t>0x81</t>
        </is>
      </c>
      <c r="J61" s="178" t="inlineStr">
        <is>
          <t>0x00</t>
        </is>
      </c>
      <c r="K61" s="178" t="inlineStr">
        <is>
          <t>0x05</t>
        </is>
      </c>
      <c r="L61" s="178" t="inlineStr">
        <is>
          <t>0x00</t>
        </is>
      </c>
      <c r="M61" s="178" t="inlineStr">
        <is>
          <t>0x00</t>
        </is>
      </c>
      <c r="N61" s="178" t="inlineStr">
        <is>
          <t>0x00</t>
        </is>
      </c>
      <c r="O61" s="178" t="inlineStr">
        <is>
          <t>0x00</t>
        </is>
      </c>
      <c r="P61" s="178" t="inlineStr">
        <is>
          <t>0x00</t>
        </is>
      </c>
      <c r="Q61" s="178" t="inlineStr">
        <is>
          <t>0x00</t>
        </is>
      </c>
      <c r="R61" s="178" t="inlineStr">
        <is>
          <t>0x00</t>
        </is>
      </c>
      <c r="S61" s="178" t="inlineStr">
        <is>
          <t>0X02</t>
        </is>
      </c>
      <c r="T61" s="178" t="inlineStr">
        <is>
          <t>0x00</t>
        </is>
      </c>
      <c r="U61" s="178" t="inlineStr">
        <is>
          <t>0x00</t>
        </is>
      </c>
      <c r="V61" s="178" t="inlineStr">
        <is>
          <t>0x00</t>
        </is>
      </c>
      <c r="W61" s="180">
        <f>"0x"&amp;MID(D61,64,2)</f>
        <v/>
      </c>
      <c r="X61" s="180">
        <f>"0x"&amp;MID(D61,67,2)</f>
        <v/>
      </c>
      <c r="Y61" s="182">
        <f>CONCATENATE(RIGHT(G61,2)," ",RIGHT(H61,2)," ",RIGHT(I61,2)," ",RIGHT(J61,2)," ",RIGHT(K61,2)," ",RIGHT(L61,2)," ",RIGHT(M61,2)," ",RIGHT(N61,2)," ",RIGHT(O61,2)," ",RIGHT(P61,2)," ",RIGHT(Q61,2)," ",RIGHT(R61,2)," ",RIGHT(S61,2)," ",RIGHT(T61,2)," ",RIGHT(U61,2)," ",RIGHT(V61,2)," ",RIGHT(W61,2)," ",RIGHT(X61,2))</f>
        <v/>
      </c>
    </row>
    <row r="62" ht="42.75" customHeight="1" s="17">
      <c r="A62" s="222" t="n"/>
      <c r="B62" s="223" t="n"/>
      <c r="C62" s="160" t="inlineStr">
        <is>
          <t>PN</t>
        </is>
      </c>
      <c r="D62" s="160" t="inlineStr">
        <is>
          <t>55 43 49 12 00 01 01 81 00 06 00 00 00 00 00 00 00 20 00 00 00 B7 16</t>
        </is>
      </c>
      <c r="E62" s="161" t="inlineStr">
        <is>
          <t>Receipt: BE AA 21 00 00 4D 49 4E 49 32 33 38 34 78 78 78 78 78 78 78 78 78 78 78 78 78 78 78 78 78 78 78 78 78 78 78 78 30 68 EB AA 
pn: MINI2384xxxxxxxxxxxxxxxxxxxxxxxx</t>
        </is>
      </c>
      <c r="F62" s="191" t="n"/>
      <c r="G62" s="192" t="inlineStr">
        <is>
          <t>0x01</t>
        </is>
      </c>
      <c r="H62" s="178" t="inlineStr">
        <is>
          <t>0x01</t>
        </is>
      </c>
      <c r="I62" s="178" t="inlineStr">
        <is>
          <t>0x81</t>
        </is>
      </c>
      <c r="J62" s="178" t="inlineStr">
        <is>
          <t>0x00</t>
        </is>
      </c>
      <c r="K62" s="178" t="inlineStr">
        <is>
          <t>0x06</t>
        </is>
      </c>
      <c r="L62" s="178" t="inlineStr">
        <is>
          <t>0x00</t>
        </is>
      </c>
      <c r="M62" s="178" t="inlineStr">
        <is>
          <t>0x00</t>
        </is>
      </c>
      <c r="N62" s="178" t="inlineStr">
        <is>
          <t>0x00</t>
        </is>
      </c>
      <c r="O62" s="178" t="inlineStr">
        <is>
          <t>0x00</t>
        </is>
      </c>
      <c r="P62" s="178" t="inlineStr">
        <is>
          <t>0x00</t>
        </is>
      </c>
      <c r="Q62" s="178" t="inlineStr">
        <is>
          <t>0x00</t>
        </is>
      </c>
      <c r="R62" s="178" t="inlineStr">
        <is>
          <t>0x00</t>
        </is>
      </c>
      <c r="S62" s="178" t="inlineStr">
        <is>
          <t>0x20</t>
        </is>
      </c>
      <c r="T62" s="178" t="inlineStr">
        <is>
          <t>0x00</t>
        </is>
      </c>
      <c r="U62" s="178" t="inlineStr">
        <is>
          <t>0x00</t>
        </is>
      </c>
      <c r="V62" s="178" t="inlineStr">
        <is>
          <t>0x00</t>
        </is>
      </c>
      <c r="W62" s="180">
        <f>"0x"&amp;MID(D62,64,2)</f>
        <v/>
      </c>
      <c r="X62" s="180">
        <f>"0x"&amp;MID(D62,67,2)</f>
        <v/>
      </c>
      <c r="Y62" s="182">
        <f>CONCATENATE(RIGHT(G62,2)," ",RIGHT(H62,2)," ",RIGHT(I62,2)," ",RIGHT(J62,2)," ",RIGHT(K62,2)," ",RIGHT(L62,2)," ",RIGHT(M62,2)," ",RIGHT(N62,2)," ",RIGHT(O62,2)," ",RIGHT(P62,2)," ",RIGHT(Q62,2)," ",RIGHT(R62,2)," ",RIGHT(S62,2)," ",RIGHT(T62,2)," ",RIGHT(U62,2)," ",RIGHT(V62,2)," ",RIGHT(W62,2)," ",RIGHT(X62,2))</f>
        <v/>
      </c>
    </row>
    <row r="63" ht="42.75" customHeight="1" s="17">
      <c r="A63" s="222" t="n"/>
      <c r="B63" s="225" t="n"/>
      <c r="C63" s="160" t="inlineStr">
        <is>
          <t>SN</t>
        </is>
      </c>
      <c r="D63" s="160" t="inlineStr">
        <is>
          <t>55 43 49 12 00 01 01 81 00 07 00 00 00 00 00 00 00 20 00 00 00 C2 15</t>
        </is>
      </c>
      <c r="E63" s="161" t="inlineStr">
        <is>
          <t>Receipt: BE AA 21 00 00 6D 69 6E 69 32 33 38 34 78 78 78 78 78 78 78 78 78 78 78 78 78 78 78 78 78 78 78 78 78 78 78 78 55 EA EB AA
sn: mini2384xxxxxxxxxxxxxxxxxxxxxxxx</t>
        </is>
      </c>
      <c r="F63" s="191" t="n"/>
      <c r="G63" s="192" t="inlineStr">
        <is>
          <t>0x01</t>
        </is>
      </c>
      <c r="H63" s="178" t="inlineStr">
        <is>
          <t>0x01</t>
        </is>
      </c>
      <c r="I63" s="178" t="inlineStr">
        <is>
          <t>0x81</t>
        </is>
      </c>
      <c r="J63" s="178" t="inlineStr">
        <is>
          <t>0x00</t>
        </is>
      </c>
      <c r="K63" s="178" t="inlineStr">
        <is>
          <t>0x07</t>
        </is>
      </c>
      <c r="L63" s="178" t="inlineStr">
        <is>
          <t>0x00</t>
        </is>
      </c>
      <c r="M63" s="178" t="inlineStr">
        <is>
          <t>0x00</t>
        </is>
      </c>
      <c r="N63" s="178" t="inlineStr">
        <is>
          <t>0x00</t>
        </is>
      </c>
      <c r="O63" s="178" t="inlineStr">
        <is>
          <t>0x00</t>
        </is>
      </c>
      <c r="P63" s="178" t="inlineStr">
        <is>
          <t>0x00</t>
        </is>
      </c>
      <c r="Q63" s="178" t="inlineStr">
        <is>
          <t>0x00</t>
        </is>
      </c>
      <c r="R63" s="178" t="inlineStr">
        <is>
          <t>0x00</t>
        </is>
      </c>
      <c r="S63" s="178" t="inlineStr">
        <is>
          <t>0x20</t>
        </is>
      </c>
      <c r="T63" s="178" t="inlineStr">
        <is>
          <t>0x00</t>
        </is>
      </c>
      <c r="U63" s="178" t="inlineStr">
        <is>
          <t>0x00</t>
        </is>
      </c>
      <c r="V63" s="178" t="inlineStr">
        <is>
          <t>0x00</t>
        </is>
      </c>
      <c r="W63" s="180">
        <f>"0x"&amp;MID(D63,64,2)</f>
        <v/>
      </c>
      <c r="X63" s="180">
        <f>"0x"&amp;MID(D63,67,2)</f>
        <v/>
      </c>
      <c r="Y63" s="182">
        <f>CONCATENATE(RIGHT(G63,2)," ",RIGHT(H63,2)," ",RIGHT(I63,2)," ",RIGHT(J63,2)," ",RIGHT(K63,2)," ",RIGHT(L63,2)," ",RIGHT(M63,2)," ",RIGHT(N63,2)," ",RIGHT(O63,2)," ",RIGHT(P63,2)," ",RIGHT(Q63,2)," ",RIGHT(R63,2)," ",RIGHT(S63,2)," ",RIGHT(T63,2)," ",RIGHT(U63,2)," ",RIGHT(V63,2)," ",RIGHT(W63,2)," ",RIGHT(X63,2))</f>
        <v/>
      </c>
    </row>
    <row r="64" ht="28.5" customHeight="1" s="17">
      <c r="A64" s="222" t="n"/>
      <c r="B64" s="184" t="inlineStr">
        <is>
          <t>Get module temperature</t>
        </is>
      </c>
      <c r="C64" s="184" t="n"/>
      <c r="D64" s="184" t="inlineStr">
        <is>
          <t>55 43 49 12 00 10 10 91 00 00 00 00 00 00 00 00 00 02 00 00 00 00 6A</t>
        </is>
      </c>
      <c r="E64" s="161" t="inlineStr">
        <is>
          <t>BE AA 03 00 00 AA 0C 3D 7A EB AA: Indicates 0x0CAA=3242, i.e., 32.42 degrees
Note that this temperature is for reference only, and the accuracy error will be ±10 degrees Celsius or more</t>
        </is>
      </c>
      <c r="F64" s="191" t="n"/>
      <c r="G64" s="192" t="inlineStr">
        <is>
          <t>0x10</t>
        </is>
      </c>
      <c r="H64" s="178" t="inlineStr">
        <is>
          <t>0x10</t>
        </is>
      </c>
      <c r="I64" s="178" t="inlineStr">
        <is>
          <t>0x91</t>
        </is>
      </c>
      <c r="J64" s="178" t="inlineStr">
        <is>
          <t>0x00</t>
        </is>
      </c>
      <c r="K64" s="178" t="inlineStr">
        <is>
          <t>0x00</t>
        </is>
      </c>
      <c r="L64" s="178" t="inlineStr">
        <is>
          <t>0x00</t>
        </is>
      </c>
      <c r="M64" s="178" t="inlineStr">
        <is>
          <t>0x00</t>
        </is>
      </c>
      <c r="N64" s="178" t="inlineStr">
        <is>
          <t>0x00</t>
        </is>
      </c>
      <c r="O64" s="178" t="inlineStr">
        <is>
          <t>0x00</t>
        </is>
      </c>
      <c r="P64" s="178" t="inlineStr">
        <is>
          <t>0x00</t>
        </is>
      </c>
      <c r="Q64" s="178" t="inlineStr">
        <is>
          <t>0x00</t>
        </is>
      </c>
      <c r="R64" s="178" t="inlineStr">
        <is>
          <t>0x00</t>
        </is>
      </c>
      <c r="S64" s="178" t="inlineStr">
        <is>
          <t>0X02</t>
        </is>
      </c>
      <c r="T64" s="178" t="inlineStr">
        <is>
          <t>0x00</t>
        </is>
      </c>
      <c r="U64" s="178" t="inlineStr">
        <is>
          <t>0x00</t>
        </is>
      </c>
      <c r="V64" s="178" t="inlineStr">
        <is>
          <t>0x00</t>
        </is>
      </c>
      <c r="W64" s="180">
        <f>"0x"&amp;MID(D64,64,2)</f>
        <v/>
      </c>
      <c r="X64" s="180">
        <f>"0x"&amp;MID(D64,67,2)</f>
        <v/>
      </c>
      <c r="Y64" s="182">
        <f>CONCATENATE(RIGHT(G64,2)," ",RIGHT(H64,2)," ",RIGHT(I64,2)," ",RIGHT(J64,2)," ",RIGHT(K64,2)," ",RIGHT(L64,2)," ",RIGHT(M64,2)," ",RIGHT(N64,2)," ",RIGHT(O64,2)," ",RIGHT(P64,2)," ",RIGHT(Q64,2)," ",RIGHT(R64,2)," ",RIGHT(S64,2)," ",RIGHT(T64,2)," ",RIGHT(U64,2)," ",RIGHT(V64,2)," ",RIGHT(W64,2)," ",RIGHT(X64,2))</f>
        <v/>
      </c>
    </row>
    <row r="65" ht="71.25" customHeight="1" s="17">
      <c r="A65" s="222" t="n"/>
      <c r="B65" s="178" t="inlineStr">
        <is>
          <t>Get the coordinates of the highest temperature point in the region of interest</t>
        </is>
      </c>
      <c r="C65" s="184" t="n"/>
      <c r="D65" s="184" t="inlineStr">
        <is>
          <t>55 43 49 12 00 10 10 92 00 00 00 00 00 7f 01 1f 01 0e 00 00 00 e8 0c</t>
        </is>
      </c>
      <c r="E65" s="161" t="inlineStr">
        <is>
          <t>Example: Selected range (0, 0) to (383, 287): 0x011f=287; 0x017f=383
1. When setting coordinates, note that the top left (x1, y1) comes before the bottom right (x2, y2). That is, x1&lt;x2, y1&lt;y2
2. When obtaining: min value, average value, max value, min x, min y, max x, max y. All are uint16 type</t>
        </is>
      </c>
      <c r="F65" s="191" t="n"/>
      <c r="G65" s="192" t="inlineStr">
        <is>
          <t>0x10</t>
        </is>
      </c>
      <c r="H65" s="178" t="inlineStr">
        <is>
          <t>0x10</t>
        </is>
      </c>
      <c r="I65" s="178" t="inlineStr">
        <is>
          <t>0x92</t>
        </is>
      </c>
      <c r="J65" s="178" t="inlineStr">
        <is>
          <t>0x00</t>
        </is>
      </c>
      <c r="K65" s="130" t="inlineStr">
        <is>
          <t>0x00</t>
        </is>
      </c>
      <c r="L65" s="130" t="inlineStr">
        <is>
          <t>0x00</t>
        </is>
      </c>
      <c r="M65" s="130" t="inlineStr">
        <is>
          <t>0x00</t>
        </is>
      </c>
      <c r="N65" s="130" t="inlineStr">
        <is>
          <t>0x00</t>
        </is>
      </c>
      <c r="O65" s="130" t="inlineStr">
        <is>
          <t>0x7f</t>
        </is>
      </c>
      <c r="P65" s="130" t="inlineStr">
        <is>
          <t>0x01</t>
        </is>
      </c>
      <c r="Q65" s="130" t="inlineStr">
        <is>
          <t>0x1f</t>
        </is>
      </c>
      <c r="R65" s="130" t="inlineStr">
        <is>
          <t>0x01</t>
        </is>
      </c>
      <c r="S65" s="178" t="inlineStr">
        <is>
          <t>0X0e</t>
        </is>
      </c>
      <c r="T65" s="178" t="inlineStr">
        <is>
          <t>0x00</t>
        </is>
      </c>
      <c r="U65" s="178" t="inlineStr">
        <is>
          <t>0x00</t>
        </is>
      </c>
      <c r="V65" s="178" t="inlineStr">
        <is>
          <t>0x00</t>
        </is>
      </c>
      <c r="W65" s="180">
        <f>"0x"&amp;MID(D65,64,2)</f>
        <v/>
      </c>
      <c r="X65" s="180">
        <f>"0x"&amp;MID(D65,67,2)</f>
        <v/>
      </c>
      <c r="Y65" s="182">
        <f>CONCATENATE(RIGHT(G65,2)," ",RIGHT(H65,2)," ",RIGHT(I65,2)," ",RIGHT(J65,2)," ",RIGHT(K65,2)," ",RIGHT(L65,2)," ",RIGHT(M65,2)," ",RIGHT(N65,2)," ",RIGHT(O65,2)," ",RIGHT(P65,2)," ",RIGHT(Q65,2)," ",RIGHT(R65,2)," ",RIGHT(S65,2)," ",RIGHT(T65,2)," ",RIGHT(U65,2)," ",RIGHT(V65,2)," ",RIGHT(W65,2)," ",RIGHT(X65,2))</f>
        <v/>
      </c>
    </row>
    <row r="66" ht="85.5" customHeight="1" s="17">
      <c r="A66" s="222" t="n"/>
      <c r="B66" s="225" t="n"/>
      <c r="C66" s="184" t="n"/>
      <c r="D66" s="184" t="inlineStr">
        <is>
          <t>55 43 49 12 00 10 10 92 00 32 00 32 00 4d 01 ed 00 0e 00 00 00 34 59</t>
        </is>
      </c>
      <c r="E66" s="185" t="inlineStr">
        <is>
          <t>Example: Select range (50, 50) to (333, 237): 0x0032=50; 0x014d=333; 0x00ed=237
Receipt: BE AA 0F 00 00 D4 1F AE 6F E0 79 4C 00 D2 00 39 00 33 00 D3 F0 EB AA 
0x1FD4 is the minimum value, 0x6FAE is the average value, 0x79E0 is the maximum value. 0x004c, 0x00D2 are the minimum value coordinates, i.e., (76, 210), 0x0039 and 0x0033 are the maximum value coordinates, i.e., (51, 57)</t>
        </is>
      </c>
      <c r="F66" s="191" t="n"/>
      <c r="G66" s="192" t="inlineStr">
        <is>
          <t>0x10</t>
        </is>
      </c>
      <c r="H66" s="178" t="inlineStr">
        <is>
          <t>0x10</t>
        </is>
      </c>
      <c r="I66" s="178" t="inlineStr">
        <is>
          <t>0x92</t>
        </is>
      </c>
      <c r="J66" s="178" t="inlineStr">
        <is>
          <t>0x00</t>
        </is>
      </c>
      <c r="K66" s="130" t="inlineStr">
        <is>
          <t>0x32</t>
        </is>
      </c>
      <c r="L66" s="130" t="inlineStr">
        <is>
          <t>0x00</t>
        </is>
      </c>
      <c r="M66" s="130" t="inlineStr">
        <is>
          <t>0x32</t>
        </is>
      </c>
      <c r="N66" s="130" t="inlineStr">
        <is>
          <t>0x00</t>
        </is>
      </c>
      <c r="O66" s="130" t="inlineStr">
        <is>
          <t>0x4d</t>
        </is>
      </c>
      <c r="P66" s="130" t="inlineStr">
        <is>
          <t>0x01</t>
        </is>
      </c>
      <c r="Q66" s="130" t="inlineStr">
        <is>
          <t>0xed</t>
        </is>
      </c>
      <c r="R66" s="130" t="inlineStr">
        <is>
          <t>0x00</t>
        </is>
      </c>
      <c r="S66" s="178" t="inlineStr">
        <is>
          <t>0X0e</t>
        </is>
      </c>
      <c r="T66" s="178" t="inlineStr">
        <is>
          <t>0x00</t>
        </is>
      </c>
      <c r="U66" s="178" t="inlineStr">
        <is>
          <t>0x00</t>
        </is>
      </c>
      <c r="V66" s="178" t="inlineStr">
        <is>
          <t>0x00</t>
        </is>
      </c>
      <c r="W66" s="180">
        <f>"0x"&amp;MID(D66,64,2)</f>
        <v/>
      </c>
      <c r="X66" s="180">
        <f>"0x"&amp;MID(D66,67,2)</f>
        <v/>
      </c>
      <c r="Y66" s="182">
        <f>CONCATENATE(RIGHT(G66,2)," ",RIGHT(H66,2)," ",RIGHT(I66,2)," ",RIGHT(J66,2)," ",RIGHT(K66,2)," ",RIGHT(L66,2)," ",RIGHT(M66,2)," ",RIGHT(N66,2)," ",RIGHT(O66,2)," ",RIGHT(P66,2)," ",RIGHT(Q66,2)," ",RIGHT(R66,2)," ",RIGHT(S66,2)," ",RIGHT(T66,2)," ",RIGHT(U66,2)," ",RIGHT(V66,2)," ",RIGHT(W66,2)," ",RIGHT(X66,2))</f>
        <v/>
      </c>
    </row>
    <row r="67" ht="15" customHeight="1" s="17">
      <c r="A67" s="227" t="n"/>
      <c r="B67" s="184" t="inlineStr">
        <is>
          <t>Get the time since power on</t>
        </is>
      </c>
      <c r="C67" s="184" t="n"/>
      <c r="D67" s="184" t="inlineStr">
        <is>
          <t>55 43 49 12 00 10 10 93 00 00 00 00 00 00 00 00 00 04 00 00 00 5B BB</t>
        </is>
      </c>
      <c r="E67" s="161" t="inlineStr">
        <is>
          <t>BE AA 05 00 00 D7 01 00 00 EB 98 EB AA: Indicates 0x000001D7=471s</t>
        </is>
      </c>
      <c r="F67" s="191" t="n"/>
      <c r="G67" s="192" t="inlineStr">
        <is>
          <t>0x10</t>
        </is>
      </c>
      <c r="H67" s="178" t="inlineStr">
        <is>
          <t>0x10</t>
        </is>
      </c>
      <c r="I67" s="178" t="inlineStr">
        <is>
          <t>0x93</t>
        </is>
      </c>
      <c r="J67" s="178" t="inlineStr">
        <is>
          <t>0x00</t>
        </is>
      </c>
      <c r="K67" s="130" t="inlineStr">
        <is>
          <t>0x00</t>
        </is>
      </c>
      <c r="L67" s="178" t="inlineStr">
        <is>
          <t>0x00</t>
        </is>
      </c>
      <c r="M67" s="178" t="inlineStr">
        <is>
          <t>0x00</t>
        </is>
      </c>
      <c r="N67" s="178" t="inlineStr">
        <is>
          <t>0x00</t>
        </is>
      </c>
      <c r="O67" s="178" t="inlineStr">
        <is>
          <t>0x00</t>
        </is>
      </c>
      <c r="P67" s="178" t="inlineStr">
        <is>
          <t>0x00</t>
        </is>
      </c>
      <c r="Q67" s="178" t="inlineStr">
        <is>
          <t>0x00</t>
        </is>
      </c>
      <c r="R67" s="178" t="inlineStr">
        <is>
          <t>0x00</t>
        </is>
      </c>
      <c r="S67" s="178" t="inlineStr">
        <is>
          <t>0X04</t>
        </is>
      </c>
      <c r="T67" s="178" t="inlineStr">
        <is>
          <t>0x00</t>
        </is>
      </c>
      <c r="U67" s="178" t="inlineStr">
        <is>
          <t>0x00</t>
        </is>
      </c>
      <c r="V67" s="178" t="inlineStr">
        <is>
          <t>0x00</t>
        </is>
      </c>
      <c r="W67" s="180">
        <f>"0x"&amp;MID(D67,64,2)</f>
        <v/>
      </c>
      <c r="X67" s="180">
        <f>"0x"&amp;MID(D67,67,2)</f>
        <v/>
      </c>
      <c r="Y67" s="182">
        <f>CONCATENATE(RIGHT(G67,2)," ",RIGHT(H67,2)," ",RIGHT(I67,2)," ",RIGHT(J67,2)," ",RIGHT(K67,2)," ",RIGHT(L67,2)," ",RIGHT(M67,2)," ",RIGHT(N67,2)," ",RIGHT(O67,2)," ",RIGHT(P67,2)," ",RIGHT(Q67,2)," ",RIGHT(R67,2)," ",RIGHT(S67,2)," ",RIGHT(T67,2)," ",RIGHT(U67,2)," ",RIGHT(V67,2)," ",RIGHT(W67,2)," ",RIGHT(X67,2))</f>
        <v/>
      </c>
    </row>
    <row r="68" ht="42.75" customHeight="1" s="17">
      <c r="A68" s="175" t="inlineStr">
        <is>
          <t>Video output related</t>
        </is>
      </c>
      <c r="B68" s="186" t="inlineStr">
        <is>
          <t>Digital video format</t>
        </is>
      </c>
      <c r="C68" s="186" t="inlineStr">
        <is>
          <t>Settings - USB - Progressive - 30hz</t>
        </is>
      </c>
      <c r="D68" s="186" t="inlineStr">
        <is>
          <t>55 43 49 12 00 10 10 46 00 01 00 1e 00 00 00 00 00 00 00 00 00 4f e3</t>
        </is>
      </c>
      <c r="E68" s="187" t="inlineStr">
        <is>
          <t>Para1[0]: 0x01, indicates digital output is enabled, Para1[1]: 0x00, indicates USB progressive output, Para1[2]: 0x1e, indicates 30hz output, the array size is consistent with the detector output;
Note, mini2 640 has a maximum frame rate of 30hz in USB output mode</t>
        </is>
      </c>
      <c r="F68" s="162" t="n"/>
      <c r="G68" s="192" t="inlineStr">
        <is>
          <t>0x10</t>
        </is>
      </c>
      <c r="H68" s="178" t="inlineStr">
        <is>
          <t>0x10</t>
        </is>
      </c>
      <c r="I68" s="178" t="inlineStr">
        <is>
          <t>0x46</t>
        </is>
      </c>
      <c r="J68" s="178" t="inlineStr">
        <is>
          <t>0x00</t>
        </is>
      </c>
      <c r="K68" s="130" t="inlineStr">
        <is>
          <t>0x01</t>
        </is>
      </c>
      <c r="L68" s="130" t="inlineStr">
        <is>
          <t>0x00</t>
        </is>
      </c>
      <c r="M68" s="130" t="inlineStr">
        <is>
          <t>0x1E</t>
        </is>
      </c>
      <c r="N68" s="178" t="inlineStr">
        <is>
          <t>0x00</t>
        </is>
      </c>
      <c r="O68" s="178" t="inlineStr">
        <is>
          <t>0x00</t>
        </is>
      </c>
      <c r="P68" s="178" t="inlineStr">
        <is>
          <t>0x00</t>
        </is>
      </c>
      <c r="Q68" s="178" t="inlineStr">
        <is>
          <t>0x00</t>
        </is>
      </c>
      <c r="R68" s="178" t="inlineStr">
        <is>
          <t>0x00</t>
        </is>
      </c>
      <c r="S68" s="178" t="inlineStr">
        <is>
          <t>0x00</t>
        </is>
      </c>
      <c r="T68" s="178" t="inlineStr">
        <is>
          <t>0x00</t>
        </is>
      </c>
      <c r="U68" s="178" t="inlineStr">
        <is>
          <t>0x00</t>
        </is>
      </c>
      <c r="V68" s="178" t="inlineStr">
        <is>
          <t>0x00</t>
        </is>
      </c>
      <c r="W68" s="180">
        <f>"0x"&amp;MID(D68,64,2)</f>
        <v/>
      </c>
      <c r="X68" s="180">
        <f>"0x"&amp;MID(D68,67,2)</f>
        <v/>
      </c>
      <c r="Y68" s="182">
        <f>CONCATENATE(RIGHT(G68,2)," ",RIGHT(H68,2)," ",RIGHT(I68,2)," ",RIGHT(J68,2)," ",RIGHT(K68,2)," ",RIGHT(L68,2)," ",RIGHT(M68,2)," ",RIGHT(N68,2)," ",RIGHT(O68,2)," ",RIGHT(P68,2)," ",RIGHT(Q68,2)," ",RIGHT(R68,2)," ",RIGHT(S68,2)," ",RIGHT(T68,2)," ",RIGHT(U68,2)," ",RIGHT(V68,2)," ",RIGHT(W68,2)," ",RIGHT(X68,2))</f>
        <v/>
      </c>
    </row>
    <row r="69" ht="42.75" customHeight="1" s="17">
      <c r="A69" s="222" t="n"/>
      <c r="B69" s="223" t="n"/>
      <c r="C69" s="160" t="inlineStr">
        <is>
          <t>Settings - USB - Progressive - 60hz</t>
        </is>
      </c>
      <c r="D69" s="160" t="inlineStr">
        <is>
          <t>55 43 49 12 00 10 10 46 00 01 00 3c 00 00 00 00 00 00 00 00 00 c8 04</t>
        </is>
      </c>
      <c r="E69" s="161" t="inlineStr">
        <is>
          <t>Para1[0]: 0x01, indicates digital output is enabled, Para1[1]: 0x00, indicates USB progressive output, Para1[2]: 0x3c, indicates 60hz output, the array size is consistent with the detector output; Note, mini2 640 setting this command will return an error</t>
        </is>
      </c>
      <c r="F69" s="162" t="n"/>
      <c r="G69" s="192" t="inlineStr">
        <is>
          <t>0x10</t>
        </is>
      </c>
      <c r="H69" s="178" t="inlineStr">
        <is>
          <t>0x10</t>
        </is>
      </c>
      <c r="I69" s="178" t="inlineStr">
        <is>
          <t>0x46</t>
        </is>
      </c>
      <c r="J69" s="178" t="inlineStr">
        <is>
          <t>0x00</t>
        </is>
      </c>
      <c r="K69" s="130" t="inlineStr">
        <is>
          <t>0x01</t>
        </is>
      </c>
      <c r="L69" s="130" t="inlineStr">
        <is>
          <t>0x00</t>
        </is>
      </c>
      <c r="M69" s="130" t="inlineStr">
        <is>
          <t>0x3C</t>
        </is>
      </c>
      <c r="N69" s="178" t="inlineStr">
        <is>
          <t>0x00</t>
        </is>
      </c>
      <c r="O69" s="178" t="inlineStr">
        <is>
          <t>0x00</t>
        </is>
      </c>
      <c r="P69" s="178" t="inlineStr">
        <is>
          <t>0x00</t>
        </is>
      </c>
      <c r="Q69" s="178" t="inlineStr">
        <is>
          <t>0x00</t>
        </is>
      </c>
      <c r="R69" s="178" t="inlineStr">
        <is>
          <t>0x00</t>
        </is>
      </c>
      <c r="S69" s="178" t="inlineStr">
        <is>
          <t>0x00</t>
        </is>
      </c>
      <c r="T69" s="178" t="inlineStr">
        <is>
          <t>0x00</t>
        </is>
      </c>
      <c r="U69" s="178" t="inlineStr">
        <is>
          <t>0x00</t>
        </is>
      </c>
      <c r="V69" s="178" t="inlineStr">
        <is>
          <t>0x00</t>
        </is>
      </c>
      <c r="W69" s="180">
        <f>"0x"&amp;MID(D69,64,2)</f>
        <v/>
      </c>
      <c r="X69" s="180">
        <f>"0x"&amp;MID(D69,67,2)</f>
        <v/>
      </c>
      <c r="Y69" s="182">
        <f>CONCATENATE(RIGHT(G69,2)," ",RIGHT(H69,2)," ",RIGHT(I69,2)," ",RIGHT(J69,2)," ",RIGHT(K69,2)," ",RIGHT(L69,2)," ",RIGHT(M69,2)," ",RIGHT(N69,2)," ",RIGHT(O69,2)," ",RIGHT(P69,2)," ",RIGHT(Q69,2)," ",RIGHT(R69,2)," ",RIGHT(S69,2)," ",RIGHT(T69,2)," ",RIGHT(U69,2)," ",RIGHT(V69,2)," ",RIGHT(W69,2)," ",RIGHT(X69,2))</f>
        <v/>
      </c>
    </row>
    <row r="70" ht="28.5" customHeight="1" s="17">
      <c r="A70" s="222" t="n"/>
      <c r="B70" s="223" t="n"/>
      <c r="C70" s="160" t="inlineStr">
        <is>
          <t>Settings - dvp - Progressive - 30hz</t>
        </is>
      </c>
      <c r="D70" s="160" t="inlineStr">
        <is>
          <t>55 43 49 12 00 10 10 46 00 01 01 1e 00 00 00 00 00 00 00 00 00 06 3b</t>
        </is>
      </c>
      <c r="E70" s="161" t="inlineStr">
        <is>
          <t>Para1[0]: 0x01, indicates digital output is enabled, Para1[1]: 0x01, indicates dvp progressive output, Para1[2]: 0x1e, indicates 30hz output, the array size is consistent with the detector output</t>
        </is>
      </c>
      <c r="F70" s="162" t="n"/>
      <c r="G70" s="192" t="inlineStr">
        <is>
          <t>0x10</t>
        </is>
      </c>
      <c r="H70" s="178" t="inlineStr">
        <is>
          <t>0x10</t>
        </is>
      </c>
      <c r="I70" s="178" t="inlineStr">
        <is>
          <t>0x46</t>
        </is>
      </c>
      <c r="J70" s="178" t="inlineStr">
        <is>
          <t>0x00</t>
        </is>
      </c>
      <c r="K70" s="130" t="inlineStr">
        <is>
          <t>0x01</t>
        </is>
      </c>
      <c r="L70" s="130" t="inlineStr">
        <is>
          <t>0x01</t>
        </is>
      </c>
      <c r="M70" s="130" t="inlineStr">
        <is>
          <t>0x1E</t>
        </is>
      </c>
      <c r="N70" s="178" t="inlineStr">
        <is>
          <t>0x00</t>
        </is>
      </c>
      <c r="O70" s="178" t="inlineStr">
        <is>
          <t>0x00</t>
        </is>
      </c>
      <c r="P70" s="178" t="inlineStr">
        <is>
          <t>0x00</t>
        </is>
      </c>
      <c r="Q70" s="178" t="inlineStr">
        <is>
          <t>0x00</t>
        </is>
      </c>
      <c r="R70" s="178" t="inlineStr">
        <is>
          <t>0x00</t>
        </is>
      </c>
      <c r="S70" s="178" t="inlineStr">
        <is>
          <t>0x00</t>
        </is>
      </c>
      <c r="T70" s="178" t="inlineStr">
        <is>
          <t>0x00</t>
        </is>
      </c>
      <c r="U70" s="178" t="inlineStr">
        <is>
          <t>0x00</t>
        </is>
      </c>
      <c r="V70" s="178" t="inlineStr">
        <is>
          <t>0x00</t>
        </is>
      </c>
      <c r="W70" s="180">
        <f>"0x"&amp;MID(D70,64,2)</f>
        <v/>
      </c>
      <c r="X70" s="180">
        <f>"0x"&amp;MID(D70,67,2)</f>
        <v/>
      </c>
      <c r="Y70" s="182">
        <f>CONCATENATE(RIGHT(G70,2)," ",RIGHT(H70,2)," ",RIGHT(I70,2)," ",RIGHT(J70,2)," ",RIGHT(K70,2)," ",RIGHT(L70,2)," ",RIGHT(M70,2)," ",RIGHT(N70,2)," ",RIGHT(O70,2)," ",RIGHT(P70,2)," ",RIGHT(Q70,2)," ",RIGHT(R70,2)," ",RIGHT(S70,2)," ",RIGHT(T70,2)," ",RIGHT(U70,2)," ",RIGHT(V70,2)," ",RIGHT(W70,2)," ",RIGHT(X70,2))</f>
        <v/>
      </c>
    </row>
    <row r="71" ht="28.5" customHeight="1" s="17">
      <c r="A71" s="222" t="n"/>
      <c r="B71" s="223" t="n"/>
      <c r="C71" s="160" t="inlineStr">
        <is>
          <t>Setting-dvp-progressive-60hz</t>
        </is>
      </c>
      <c r="D71" s="160" t="inlineStr">
        <is>
          <t>55 43 49 12 00 10 10 46 00 01 01 3c 00 00 00 00 00 00 00 00 00 81 dc</t>
        </is>
      </c>
      <c r="E71" s="161" t="inlineStr">
        <is>
          <t>Para1[0]: 0x01, indicating digital output is enabled, Para1[1]: 0x01, indicating dvp progressive output, Para1[2]: 0x3c, indicating 60hz output, the array size is consistent with the detector output</t>
        </is>
      </c>
      <c r="F71" s="162" t="n"/>
      <c r="G71" s="192" t="inlineStr">
        <is>
          <t>0x10</t>
        </is>
      </c>
      <c r="H71" s="178" t="inlineStr">
        <is>
          <t>0x10</t>
        </is>
      </c>
      <c r="I71" s="178" t="inlineStr">
        <is>
          <t>0x46</t>
        </is>
      </c>
      <c r="J71" s="178" t="inlineStr">
        <is>
          <t>0x00</t>
        </is>
      </c>
      <c r="K71" s="130" t="inlineStr">
        <is>
          <t>0x01</t>
        </is>
      </c>
      <c r="L71" s="130" t="inlineStr">
        <is>
          <t>0x01</t>
        </is>
      </c>
      <c r="M71" s="130" t="inlineStr">
        <is>
          <t>0x3C</t>
        </is>
      </c>
      <c r="N71" s="178" t="inlineStr">
        <is>
          <t>0x00</t>
        </is>
      </c>
      <c r="O71" s="178" t="inlineStr">
        <is>
          <t>0x00</t>
        </is>
      </c>
      <c r="P71" s="178" t="inlineStr">
        <is>
          <t>0x00</t>
        </is>
      </c>
      <c r="Q71" s="178" t="inlineStr">
        <is>
          <t>0x00</t>
        </is>
      </c>
      <c r="R71" s="178" t="inlineStr">
        <is>
          <t>0x00</t>
        </is>
      </c>
      <c r="S71" s="178" t="inlineStr">
        <is>
          <t>0x00</t>
        </is>
      </c>
      <c r="T71" s="178" t="inlineStr">
        <is>
          <t>0x00</t>
        </is>
      </c>
      <c r="U71" s="178" t="inlineStr">
        <is>
          <t>0x00</t>
        </is>
      </c>
      <c r="V71" s="178" t="inlineStr">
        <is>
          <t>0x00</t>
        </is>
      </c>
      <c r="W71" s="180">
        <f>"0x"&amp;MID(D71,64,2)</f>
        <v/>
      </c>
      <c r="X71" s="180">
        <f>"0x"&amp;MID(D71,67,2)</f>
        <v/>
      </c>
      <c r="Y71" s="182">
        <f>CONCATENATE(RIGHT(G71,2)," ",RIGHT(H71,2)," ",RIGHT(I71,2)," ",RIGHT(J71,2)," ",RIGHT(K71,2)," ",RIGHT(L71,2)," ",RIGHT(M71,2)," ",RIGHT(N71,2)," ",RIGHT(O71,2)," ",RIGHT(P71,2)," ",RIGHT(Q71,2)," ",RIGHT(R71,2)," ",RIGHT(S71,2)," ",RIGHT(T71,2)," ",RIGHT(U71,2)," ",RIGHT(V71,2)," ",RIGHT(W71,2)," ",RIGHT(X71,2))</f>
        <v/>
      </c>
    </row>
    <row r="72" ht="28.5" customHeight="1" s="17">
      <c r="A72" s="222" t="n"/>
      <c r="B72" s="223" t="n"/>
      <c r="C72" s="160" t="inlineStr">
        <is>
          <t>Setting-bt656-progressive-30hz</t>
        </is>
      </c>
      <c r="D72" s="160" t="inlineStr">
        <is>
          <t>55 43 49 12 00 10 10 46 00 01 02 1e 00 00 00 00 00 00 00 00 00 fc 43</t>
        </is>
      </c>
      <c r="E72" s="161" t="inlineStr">
        <is>
          <t>Para1[0]: 0x01, indicating digital output is enabled, Para1[1]: 0x02, indicating bt656 progressive output, Para1[2]: 0x1e, indicating 30hz output, the array size is consistent with the detector output</t>
        </is>
      </c>
      <c r="F72" s="162" t="n"/>
      <c r="G72" s="192" t="inlineStr">
        <is>
          <t>0x10</t>
        </is>
      </c>
      <c r="H72" s="178" t="inlineStr">
        <is>
          <t>0x10</t>
        </is>
      </c>
      <c r="I72" s="178" t="inlineStr">
        <is>
          <t>0x46</t>
        </is>
      </c>
      <c r="J72" s="178" t="inlineStr">
        <is>
          <t>0x00</t>
        </is>
      </c>
      <c r="K72" s="130" t="inlineStr">
        <is>
          <t>0x01</t>
        </is>
      </c>
      <c r="L72" s="130" t="inlineStr">
        <is>
          <t>0x02</t>
        </is>
      </c>
      <c r="M72" s="130" t="inlineStr">
        <is>
          <t>0x1E</t>
        </is>
      </c>
      <c r="N72" s="178" t="inlineStr">
        <is>
          <t>0x00</t>
        </is>
      </c>
      <c r="O72" s="178" t="inlineStr">
        <is>
          <t>0x00</t>
        </is>
      </c>
      <c r="P72" s="178" t="inlineStr">
        <is>
          <t>0x00</t>
        </is>
      </c>
      <c r="Q72" s="178" t="inlineStr">
        <is>
          <t>0x00</t>
        </is>
      </c>
      <c r="R72" s="178" t="inlineStr">
        <is>
          <t>0x00</t>
        </is>
      </c>
      <c r="S72" s="178" t="inlineStr">
        <is>
          <t>0x00</t>
        </is>
      </c>
      <c r="T72" s="178" t="inlineStr">
        <is>
          <t>0x00</t>
        </is>
      </c>
      <c r="U72" s="178" t="inlineStr">
        <is>
          <t>0x00</t>
        </is>
      </c>
      <c r="V72" s="178" t="inlineStr">
        <is>
          <t>0x00</t>
        </is>
      </c>
      <c r="W72" s="180">
        <f>"0x"&amp;MID(D72,64,2)</f>
        <v/>
      </c>
      <c r="X72" s="180">
        <f>"0x"&amp;MID(D72,67,2)</f>
        <v/>
      </c>
      <c r="Y72" s="182">
        <f>CONCATENATE(RIGHT(G72,2)," ",RIGHT(H72,2)," ",RIGHT(I72,2)," ",RIGHT(J72,2)," ",RIGHT(K72,2)," ",RIGHT(L72,2)," ",RIGHT(M72,2)," ",RIGHT(N72,2)," ",RIGHT(O72,2)," ",RIGHT(P72,2)," ",RIGHT(Q72,2)," ",RIGHT(R72,2)," ",RIGHT(S72,2)," ",RIGHT(T72,2)," ",RIGHT(U72,2)," ",RIGHT(V72,2)," ",RIGHT(W72,2)," ",RIGHT(X72,2))</f>
        <v/>
      </c>
    </row>
    <row r="73" ht="29.25" customHeight="1" s="17">
      <c r="A73" s="222" t="n"/>
      <c r="B73" s="223" t="n"/>
      <c r="C73" s="160" t="inlineStr">
        <is>
          <t>Setting-bt656-progressive-60hz</t>
        </is>
      </c>
      <c r="D73" s="160" t="inlineStr">
        <is>
          <t>55 43 49 12 00 10 10 46 00 01 02 3c 00 00 00 00 00 00 00 00 00 7b a4</t>
        </is>
      </c>
      <c r="E73" s="161" t="inlineStr">
        <is>
          <t>Para1[0]: 0x01, indicating digital output is enabled, Para1[1]: 0x02, indicating bt656 progressive output, Para1[2]: 0x3c, indicating 60hz output, the array size is consistent with the detector output</t>
        </is>
      </c>
      <c r="F73" s="162" t="n"/>
      <c r="G73" s="192" t="inlineStr">
        <is>
          <t>0x10</t>
        </is>
      </c>
      <c r="H73" s="178" t="inlineStr">
        <is>
          <t>0x10</t>
        </is>
      </c>
      <c r="I73" s="178" t="inlineStr">
        <is>
          <t>0x46</t>
        </is>
      </c>
      <c r="J73" s="178" t="inlineStr">
        <is>
          <t>0x00</t>
        </is>
      </c>
      <c r="K73" s="130" t="inlineStr">
        <is>
          <t>0x01</t>
        </is>
      </c>
      <c r="L73" s="130" t="inlineStr">
        <is>
          <t>0x02</t>
        </is>
      </c>
      <c r="M73" s="130" t="inlineStr">
        <is>
          <t>0x3C</t>
        </is>
      </c>
      <c r="N73" s="178" t="inlineStr">
        <is>
          <t>0x00</t>
        </is>
      </c>
      <c r="O73" s="178" t="inlineStr">
        <is>
          <t>0x00</t>
        </is>
      </c>
      <c r="P73" s="178" t="inlineStr">
        <is>
          <t>0x00</t>
        </is>
      </c>
      <c r="Q73" s="178" t="inlineStr">
        <is>
          <t>0x00</t>
        </is>
      </c>
      <c r="R73" s="178" t="inlineStr">
        <is>
          <t>0x00</t>
        </is>
      </c>
      <c r="S73" s="178" t="inlineStr">
        <is>
          <t>0x00</t>
        </is>
      </c>
      <c r="T73" s="178" t="inlineStr">
        <is>
          <t>0x00</t>
        </is>
      </c>
      <c r="U73" s="178" t="inlineStr">
        <is>
          <t>0x00</t>
        </is>
      </c>
      <c r="V73" s="178" t="inlineStr">
        <is>
          <t>0x00</t>
        </is>
      </c>
      <c r="W73" s="180">
        <f>"0x"&amp;MID(D73,64,2)</f>
        <v/>
      </c>
      <c r="X73" s="180">
        <f>"0x"&amp;MID(D73,67,2)</f>
        <v/>
      </c>
      <c r="Y73" s="182">
        <f>CONCATENATE(RIGHT(G73,2)," ",RIGHT(H73,2)," ",RIGHT(I73,2)," ",RIGHT(J73,2)," ",RIGHT(K73,2)," ",RIGHT(L73,2)," ",RIGHT(M73,2)," ",RIGHT(N73,2)," ",RIGHT(O73,2)," ",RIGHT(P73,2)," ",RIGHT(Q73,2)," ",RIGHT(R73,2)," ",RIGHT(S73,2)," ",RIGHT(T73,2)," ",RIGHT(U73,2)," ",RIGHT(V73,2)," ",RIGHT(W73,2)," ",RIGHT(X73,2))</f>
        <v/>
      </c>
    </row>
    <row r="74" ht="42.75" customHeight="1" s="17">
      <c r="A74" s="222" t="n"/>
      <c r="B74" s="223" t="n"/>
      <c r="C74" s="160" t="inlineStr">
        <is>
          <t>Setting-bt656-interlaced-25hz</t>
        </is>
      </c>
      <c r="D74" s="160" t="inlineStr">
        <is>
          <t>55 43 49 12 00 10 10 46 00 01 12 00 00 00 00 00 00 00 00 00 00 a3 bb</t>
        </is>
      </c>
      <c r="E74" s="161" t="inlineStr">
        <is>
          <t>Para1[0]: 0x01, indicating digital output is enabled, Para1[1]: 0x12, indicating bt656 interlaced output, Para1[2]: 0x00, invalid, the array size is fixed at 720*576, the frame rate is fixed at 25hz, i.e., standard bt656 interlaced timing</t>
        </is>
      </c>
      <c r="F74" s="162" t="n"/>
      <c r="G74" s="192" t="inlineStr">
        <is>
          <t>0x10</t>
        </is>
      </c>
      <c r="H74" s="178" t="inlineStr">
        <is>
          <t>0x10</t>
        </is>
      </c>
      <c r="I74" s="178" t="inlineStr">
        <is>
          <t>0x46</t>
        </is>
      </c>
      <c r="J74" s="178" t="inlineStr">
        <is>
          <t>0x00</t>
        </is>
      </c>
      <c r="K74" s="130" t="inlineStr">
        <is>
          <t>0x01</t>
        </is>
      </c>
      <c r="L74" s="130" t="inlineStr">
        <is>
          <t>0x12</t>
        </is>
      </c>
      <c r="M74" s="130" t="inlineStr">
        <is>
          <t>0x00</t>
        </is>
      </c>
      <c r="N74" s="178" t="inlineStr">
        <is>
          <t>0x00</t>
        </is>
      </c>
      <c r="O74" s="178" t="inlineStr">
        <is>
          <t>0x00</t>
        </is>
      </c>
      <c r="P74" s="178" t="inlineStr">
        <is>
          <t>0x00</t>
        </is>
      </c>
      <c r="Q74" s="178" t="inlineStr">
        <is>
          <t>0x00</t>
        </is>
      </c>
      <c r="R74" s="178" t="inlineStr">
        <is>
          <t>0x00</t>
        </is>
      </c>
      <c r="S74" s="178" t="inlineStr">
        <is>
          <t>0x00</t>
        </is>
      </c>
      <c r="T74" s="178" t="inlineStr">
        <is>
          <t>0x00</t>
        </is>
      </c>
      <c r="U74" s="178" t="inlineStr">
        <is>
          <t>0x00</t>
        </is>
      </c>
      <c r="V74" s="178" t="inlineStr">
        <is>
          <t>0x00</t>
        </is>
      </c>
      <c r="W74" s="180">
        <f>"0x"&amp;MID(D74,64,2)</f>
        <v/>
      </c>
      <c r="X74" s="180">
        <f>"0x"&amp;MID(D74,67,2)</f>
        <v/>
      </c>
      <c r="Y74" s="182">
        <f>CONCATENATE(RIGHT(G74,2)," ",RIGHT(H74,2)," ",RIGHT(I74,2)," ",RIGHT(J74,2)," ",RIGHT(K74,2)," ",RIGHT(L74,2)," ",RIGHT(M74,2)," ",RIGHT(N74,2)," ",RIGHT(O74,2)," ",RIGHT(P74,2)," ",RIGHT(Q74,2)," ",RIGHT(R74,2)," ",RIGHT(S74,2)," ",RIGHT(T74,2)," ",RIGHT(U74,2)," ",RIGHT(V74,2)," ",RIGHT(W74,2)," ",RIGHT(X74,2))</f>
        <v/>
      </c>
    </row>
    <row r="75" ht="29.25" customHeight="1" s="17">
      <c r="A75" s="222" t="n"/>
      <c r="B75" s="223" t="n"/>
      <c r="C75" s="160" t="inlineStr">
        <is>
          <t>Setting - mipi - progressive - 30hz</t>
        </is>
      </c>
      <c r="D75" s="160" t="inlineStr">
        <is>
          <t>55 43 49 12 00 10 10 46 00 01 03 1e 00 00 00 00 00 00 00 00 00 b5 9b</t>
        </is>
      </c>
      <c r="E75" s="190" t="inlineStr">
        <is>
          <t>Para1[0]: 0x01, indicating digital output is enabled, Para1[1]: 0x03, indicating mipi progressive output, Para1[2]: 0x1e, indicating 30hz output, the array size is consistent with the detector output</t>
        </is>
      </c>
      <c r="F75" s="162" t="n"/>
      <c r="G75" s="192" t="inlineStr">
        <is>
          <t>0x10</t>
        </is>
      </c>
      <c r="H75" s="178" t="inlineStr">
        <is>
          <t>0x10</t>
        </is>
      </c>
      <c r="I75" s="178" t="inlineStr">
        <is>
          <t>0x46</t>
        </is>
      </c>
      <c r="J75" s="178" t="inlineStr">
        <is>
          <t>0x00</t>
        </is>
      </c>
      <c r="K75" s="130" t="inlineStr">
        <is>
          <t>0x01</t>
        </is>
      </c>
      <c r="L75" s="130" t="inlineStr">
        <is>
          <t>0x03</t>
        </is>
      </c>
      <c r="M75" s="130" t="inlineStr">
        <is>
          <t>0x1E</t>
        </is>
      </c>
      <c r="N75" s="178" t="inlineStr">
        <is>
          <t>0x00</t>
        </is>
      </c>
      <c r="O75" s="178" t="inlineStr">
        <is>
          <t>0x00</t>
        </is>
      </c>
      <c r="P75" s="178" t="inlineStr">
        <is>
          <t>0x00</t>
        </is>
      </c>
      <c r="Q75" s="178" t="inlineStr">
        <is>
          <t>0x00</t>
        </is>
      </c>
      <c r="R75" s="178" t="inlineStr">
        <is>
          <t>0x00</t>
        </is>
      </c>
      <c r="S75" s="178" t="inlineStr">
        <is>
          <t>0x00</t>
        </is>
      </c>
      <c r="T75" s="178" t="inlineStr">
        <is>
          <t>0x00</t>
        </is>
      </c>
      <c r="U75" s="178" t="inlineStr">
        <is>
          <t>0x00</t>
        </is>
      </c>
      <c r="V75" s="178" t="inlineStr">
        <is>
          <t>0x00</t>
        </is>
      </c>
      <c r="W75" s="180">
        <f>"0x"&amp;MID(D75,64,2)</f>
        <v/>
      </c>
      <c r="X75" s="180">
        <f>"0x"&amp;MID(D75,67,2)</f>
        <v/>
      </c>
      <c r="Y75" s="182">
        <f>CONCATENATE(RIGHT(G75,2)," ",RIGHT(H75,2)," ",RIGHT(I75,2)," ",RIGHT(J75,2)," ",RIGHT(K75,2)," ",RIGHT(L75,2)," ",RIGHT(M75,2)," ",RIGHT(N75,2)," ",RIGHT(O75,2)," ",RIGHT(P75,2)," ",RIGHT(Q75,2)," ",RIGHT(R75,2)," ",RIGHT(S75,2)," ",RIGHT(T75,2)," ",RIGHT(U75,2)," ",RIGHT(V75,2)," ",RIGHT(W75,2)," ",RIGHT(X75,2))</f>
        <v/>
      </c>
    </row>
    <row r="76" ht="29.25" customHeight="1" s="17">
      <c r="A76" s="222" t="n"/>
      <c r="B76" s="223" t="n"/>
      <c r="C76" s="160" t="inlineStr">
        <is>
          <t>Setting - mipi - progressive - 60hz</t>
        </is>
      </c>
      <c r="D76" s="160" t="inlineStr">
        <is>
          <t>55 43 49 12 00 10 10 46 00 01 03 3c 00 00 00 00 00 00 00 00 00 32 7c</t>
        </is>
      </c>
      <c r="E76" s="190" t="inlineStr">
        <is>
          <t>Para1[0]: 0x01, indicating digital output is enabled, Para1[1]: 0x03, indicating mipi progressive output, Para1[2]: 0x3c, indicating 60hz output, the array size is consistent with the detector output</t>
        </is>
      </c>
      <c r="F76" s="162" t="n"/>
      <c r="G76" s="192" t="inlineStr">
        <is>
          <t>0x10</t>
        </is>
      </c>
      <c r="H76" s="178" t="inlineStr">
        <is>
          <t>0x10</t>
        </is>
      </c>
      <c r="I76" s="178" t="inlineStr">
        <is>
          <t>0x46</t>
        </is>
      </c>
      <c r="J76" s="178" t="inlineStr">
        <is>
          <t>0x00</t>
        </is>
      </c>
      <c r="K76" s="130" t="inlineStr">
        <is>
          <t>0x01</t>
        </is>
      </c>
      <c r="L76" s="130" t="inlineStr">
        <is>
          <t>0x03</t>
        </is>
      </c>
      <c r="M76" s="130" t="inlineStr">
        <is>
          <t>0x3C</t>
        </is>
      </c>
      <c r="N76" s="178" t="inlineStr">
        <is>
          <t>0x00</t>
        </is>
      </c>
      <c r="O76" s="178" t="inlineStr">
        <is>
          <t>0x00</t>
        </is>
      </c>
      <c r="P76" s="178" t="inlineStr">
        <is>
          <t>0x00</t>
        </is>
      </c>
      <c r="Q76" s="178" t="inlineStr">
        <is>
          <t>0x00</t>
        </is>
      </c>
      <c r="R76" s="178" t="inlineStr">
        <is>
          <t>0x00</t>
        </is>
      </c>
      <c r="S76" s="178" t="inlineStr">
        <is>
          <t>0x00</t>
        </is>
      </c>
      <c r="T76" s="178" t="inlineStr">
        <is>
          <t>0x00</t>
        </is>
      </c>
      <c r="U76" s="178" t="inlineStr">
        <is>
          <t>0x00</t>
        </is>
      </c>
      <c r="V76" s="178" t="inlineStr">
        <is>
          <t>0x00</t>
        </is>
      </c>
      <c r="W76" s="180">
        <f>"0x"&amp;MID(D76,64,2)</f>
        <v/>
      </c>
      <c r="X76" s="180">
        <f>"0x"&amp;MID(D76,67,2)</f>
        <v/>
      </c>
      <c r="Y76" s="182">
        <f>CONCATENATE(RIGHT(G76,2)," ",RIGHT(H76,2)," ",RIGHT(I76,2)," ",RIGHT(J76,2)," ",RIGHT(K76,2)," ",RIGHT(L76,2)," ",RIGHT(M76,2)," ",RIGHT(N76,2)," ",RIGHT(O76,2)," ",RIGHT(P76,2)," ",RIGHT(Q76,2)," ",RIGHT(R76,2)," ",RIGHT(S76,2)," ",RIGHT(T76,2)," ",RIGHT(U76,2)," ",RIGHT(V76,2)," ",RIGHT(W76,2)," ",RIGHT(X76,2))</f>
        <v/>
      </c>
    </row>
    <row r="77" ht="29.25" customHeight="1" s="17">
      <c r="A77" s="222" t="n"/>
      <c r="B77" s="223" t="n"/>
      <c r="C77" s="160" t="inlineStr">
        <is>
          <t>Setting - USB - progressive - 25hz (for mini2 256)</t>
        </is>
      </c>
      <c r="D77" s="160" t="inlineStr">
        <is>
          <t>55 43 49 12 00 10 10 46 00 01 00 19 00 00 00 00 00 00 00 00 00 b5 ff</t>
        </is>
      </c>
      <c r="E77" s="190" t="inlineStr">
        <is>
          <t>Para1[0]: 0x01, indicating digital output is enabled, Para1[1]: 0x00, indicating usb progressive output, Para1[2]: 0x19, indicating 25hz output, the array size is consistent with the detector output</t>
        </is>
      </c>
      <c r="F77" s="191" t="n"/>
      <c r="G77" s="192" t="inlineStr">
        <is>
          <t>0x10</t>
        </is>
      </c>
      <c r="H77" s="178" t="inlineStr">
        <is>
          <t>0x10</t>
        </is>
      </c>
      <c r="I77" s="178" t="inlineStr">
        <is>
          <t>0x46</t>
        </is>
      </c>
      <c r="J77" s="178" t="inlineStr">
        <is>
          <t>0x00</t>
        </is>
      </c>
      <c r="K77" s="130" t="inlineStr">
        <is>
          <t>0x01</t>
        </is>
      </c>
      <c r="L77" s="130" t="inlineStr">
        <is>
          <t>0x00</t>
        </is>
      </c>
      <c r="M77" s="130" t="inlineStr">
        <is>
          <t>0x19</t>
        </is>
      </c>
      <c r="N77" s="178" t="inlineStr">
        <is>
          <t>0x00</t>
        </is>
      </c>
      <c r="O77" s="178" t="inlineStr">
        <is>
          <t>0x00</t>
        </is>
      </c>
      <c r="P77" s="178" t="inlineStr">
        <is>
          <t>0x00</t>
        </is>
      </c>
      <c r="Q77" s="178" t="inlineStr">
        <is>
          <t>0x00</t>
        </is>
      </c>
      <c r="R77" s="178" t="inlineStr">
        <is>
          <t>0x00</t>
        </is>
      </c>
      <c r="S77" s="178" t="inlineStr">
        <is>
          <t>0x00</t>
        </is>
      </c>
      <c r="T77" s="178" t="inlineStr">
        <is>
          <t>0x00</t>
        </is>
      </c>
      <c r="U77" s="178" t="inlineStr">
        <is>
          <t>0x00</t>
        </is>
      </c>
      <c r="V77" s="178" t="inlineStr">
        <is>
          <t>0x00</t>
        </is>
      </c>
      <c r="W77" s="180">
        <f>"0x"&amp;MID(D77,64,2)</f>
        <v/>
      </c>
      <c r="X77" s="180">
        <f>"0x"&amp;MID(D77,67,2)</f>
        <v/>
      </c>
      <c r="Y77" s="182">
        <f>CONCATENATE(RIGHT(G77,2)," ",RIGHT(H77,2)," ",RIGHT(I77,2)," ",RIGHT(J77,2)," ",RIGHT(K77,2)," ",RIGHT(L77,2)," ",RIGHT(M77,2)," ",RIGHT(N77,2)," ",RIGHT(O77,2)," ",RIGHT(P77,2)," ",RIGHT(Q77,2)," ",RIGHT(R77,2)," ",RIGHT(S77,2)," ",RIGHT(T77,2)," ",RIGHT(U77,2)," ",RIGHT(V77,2)," ",RIGHT(W77,2)," ",RIGHT(X77,2))</f>
        <v/>
      </c>
    </row>
    <row r="78" ht="29.25" customHeight="1" s="17">
      <c r="A78" s="222" t="n"/>
      <c r="B78" s="223" t="n"/>
      <c r="C78" s="160" t="inlineStr">
        <is>
          <t>Setting - USB - progressive - 50hz (for mini2 256)</t>
        </is>
      </c>
      <c r="D78" s="160" t="inlineStr">
        <is>
          <t>55 43 49 12 00 10 10 46 00 01 00 32 00 00 00 00 00 00 00 00 00 3c 3d</t>
        </is>
      </c>
      <c r="E78" s="190" t="inlineStr">
        <is>
          <t>Para1[0]: 0x01, indicating digital output is enabled, Para1[1]: 0x00, indicating usb progressive output, Para1[2]: 0x32, indicating 50hz output, the array size is consistent with the detector output</t>
        </is>
      </c>
      <c r="F78" s="191" t="n"/>
      <c r="G78" s="192" t="inlineStr">
        <is>
          <t>0x10</t>
        </is>
      </c>
      <c r="H78" s="178" t="inlineStr">
        <is>
          <t>0x10</t>
        </is>
      </c>
      <c r="I78" s="178" t="inlineStr">
        <is>
          <t>0x46</t>
        </is>
      </c>
      <c r="J78" s="178" t="inlineStr">
        <is>
          <t>0x00</t>
        </is>
      </c>
      <c r="K78" s="130" t="inlineStr">
        <is>
          <t>0x01</t>
        </is>
      </c>
      <c r="L78" s="130" t="inlineStr">
        <is>
          <t>0x00</t>
        </is>
      </c>
      <c r="M78" s="130" t="inlineStr">
        <is>
          <t>0x32</t>
        </is>
      </c>
      <c r="N78" s="178" t="inlineStr">
        <is>
          <t>0x00</t>
        </is>
      </c>
      <c r="O78" s="178" t="inlineStr">
        <is>
          <t>0x00</t>
        </is>
      </c>
      <c r="P78" s="178" t="inlineStr">
        <is>
          <t>0x00</t>
        </is>
      </c>
      <c r="Q78" s="178" t="inlineStr">
        <is>
          <t>0x00</t>
        </is>
      </c>
      <c r="R78" s="178" t="inlineStr">
        <is>
          <t>0x00</t>
        </is>
      </c>
      <c r="S78" s="178" t="inlineStr">
        <is>
          <t>0x00</t>
        </is>
      </c>
      <c r="T78" s="178" t="inlineStr">
        <is>
          <t>0x00</t>
        </is>
      </c>
      <c r="U78" s="178" t="inlineStr">
        <is>
          <t>0x00</t>
        </is>
      </c>
      <c r="V78" s="178" t="inlineStr">
        <is>
          <t>0x00</t>
        </is>
      </c>
      <c r="W78" s="180">
        <f>"0x"&amp;MID(D78,64,2)</f>
        <v/>
      </c>
      <c r="X78" s="180">
        <f>"0x"&amp;MID(D78,67,2)</f>
        <v/>
      </c>
      <c r="Y78" s="182">
        <f>CONCATENATE(RIGHT(G78,2)," ",RIGHT(H78,2)," ",RIGHT(I78,2)," ",RIGHT(J78,2)," ",RIGHT(K78,2)," ",RIGHT(L78,2)," ",RIGHT(M78,2)," ",RIGHT(N78,2)," ",RIGHT(O78,2)," ",RIGHT(P78,2)," ",RIGHT(Q78,2)," ",RIGHT(R78,2)," ",RIGHT(S78,2)," ",RIGHT(T78,2)," ",RIGHT(U78,2)," ",RIGHT(V78,2)," ",RIGHT(W78,2)," ",RIGHT(X78,2))</f>
        <v/>
      </c>
    </row>
    <row r="79" ht="29.25" customHeight="1" s="17">
      <c r="A79" s="222" t="n"/>
      <c r="B79" s="223" t="n"/>
      <c r="C79" s="160" t="inlineStr">
        <is>
          <t>Setting - dvp - progressive - 25hz (for mini2 256)</t>
        </is>
      </c>
      <c r="D79" s="160" t="inlineStr">
        <is>
          <t>55 43 49 12 00 10 10 46 00 01 01 19 00 00 00 00 00 00 00 00 00 fc 27</t>
        </is>
      </c>
      <c r="E79" s="161" t="inlineStr">
        <is>
          <t>Para1[0]: 0x01, indicating digital output is enabled, Para1[1]: 0x01, indicating dvp progressive output, Para1[2]: 0x19, indicating 25hz output, the array size is consistent with the detector output</t>
        </is>
      </c>
      <c r="F79" s="191" t="n"/>
      <c r="G79" s="192" t="inlineStr">
        <is>
          <t>0x10</t>
        </is>
      </c>
      <c r="H79" s="178" t="inlineStr">
        <is>
          <t>0x10</t>
        </is>
      </c>
      <c r="I79" s="178" t="inlineStr">
        <is>
          <t>0x46</t>
        </is>
      </c>
      <c r="J79" s="178" t="inlineStr">
        <is>
          <t>0x00</t>
        </is>
      </c>
      <c r="K79" s="130" t="inlineStr">
        <is>
          <t>0x01</t>
        </is>
      </c>
      <c r="L79" s="130" t="inlineStr">
        <is>
          <t>0x01</t>
        </is>
      </c>
      <c r="M79" s="130" t="inlineStr">
        <is>
          <t>0x19</t>
        </is>
      </c>
      <c r="N79" s="178" t="inlineStr">
        <is>
          <t>0x00</t>
        </is>
      </c>
      <c r="O79" s="178" t="inlineStr">
        <is>
          <t>0x00</t>
        </is>
      </c>
      <c r="P79" s="178" t="inlineStr">
        <is>
          <t>0x00</t>
        </is>
      </c>
      <c r="Q79" s="178" t="inlineStr">
        <is>
          <t>0x00</t>
        </is>
      </c>
      <c r="R79" s="178" t="inlineStr">
        <is>
          <t>0x00</t>
        </is>
      </c>
      <c r="S79" s="178" t="inlineStr">
        <is>
          <t>0x00</t>
        </is>
      </c>
      <c r="T79" s="178" t="inlineStr">
        <is>
          <t>0x00</t>
        </is>
      </c>
      <c r="U79" s="178" t="inlineStr">
        <is>
          <t>0x00</t>
        </is>
      </c>
      <c r="V79" s="178" t="inlineStr">
        <is>
          <t>0x00</t>
        </is>
      </c>
      <c r="W79" s="180">
        <f>"0x"&amp;MID(D79,64,2)</f>
        <v/>
      </c>
      <c r="X79" s="180">
        <f>"0x"&amp;MID(D79,67,2)</f>
        <v/>
      </c>
      <c r="Y79" s="182">
        <f>CONCATENATE(RIGHT(G79,2)," ",RIGHT(H79,2)," ",RIGHT(I79,2)," ",RIGHT(J79,2)," ",RIGHT(K79,2)," ",RIGHT(L79,2)," ",RIGHT(M79,2)," ",RIGHT(N79,2)," ",RIGHT(O79,2)," ",RIGHT(P79,2)," ",RIGHT(Q79,2)," ",RIGHT(R79,2)," ",RIGHT(S79,2)," ",RIGHT(T79,2)," ",RIGHT(U79,2)," ",RIGHT(V79,2)," ",RIGHT(W79,2)," ",RIGHT(X79,2))</f>
        <v/>
      </c>
    </row>
    <row r="80" ht="29.25" customHeight="1" s="17">
      <c r="A80" s="222" t="n"/>
      <c r="B80" s="223" t="n"/>
      <c r="C80" s="160" t="inlineStr">
        <is>
          <t>Setting - dvp - progressive - 50hz (for mini2 256)</t>
        </is>
      </c>
      <c r="D80" s="160" t="inlineStr">
        <is>
          <t>55 43 49 12 00 10 10 46 00 01 01 32 00 00 00 00 00 00 00 00 00 75 e5</t>
        </is>
      </c>
      <c r="E80" s="161" t="inlineStr">
        <is>
          <t>Para1[0]: 0x01, indicating digital output is enabled, Para1[1]: 0x01, indicating DVP progressive output, Para1[2]: 0x32, indicating 50Hz output, the array size is consistent with the detector output</t>
        </is>
      </c>
      <c r="F80" s="191" t="n"/>
      <c r="G80" s="192" t="inlineStr">
        <is>
          <t>0x10</t>
        </is>
      </c>
      <c r="H80" s="178" t="inlineStr">
        <is>
          <t>0x10</t>
        </is>
      </c>
      <c r="I80" s="178" t="inlineStr">
        <is>
          <t>0x46</t>
        </is>
      </c>
      <c r="J80" s="178" t="inlineStr">
        <is>
          <t>0x00</t>
        </is>
      </c>
      <c r="K80" s="130" t="inlineStr">
        <is>
          <t>0x01</t>
        </is>
      </c>
      <c r="L80" s="130" t="inlineStr">
        <is>
          <t>0x01</t>
        </is>
      </c>
      <c r="M80" s="130" t="inlineStr">
        <is>
          <t>0x32</t>
        </is>
      </c>
      <c r="N80" s="178" t="inlineStr">
        <is>
          <t>0x00</t>
        </is>
      </c>
      <c r="O80" s="178" t="inlineStr">
        <is>
          <t>0x00</t>
        </is>
      </c>
      <c r="P80" s="178" t="inlineStr">
        <is>
          <t>0x00</t>
        </is>
      </c>
      <c r="Q80" s="178" t="inlineStr">
        <is>
          <t>0x00</t>
        </is>
      </c>
      <c r="R80" s="178" t="inlineStr">
        <is>
          <t>0x00</t>
        </is>
      </c>
      <c r="S80" s="178" t="inlineStr">
        <is>
          <t>0x00</t>
        </is>
      </c>
      <c r="T80" s="178" t="inlineStr">
        <is>
          <t>0x00</t>
        </is>
      </c>
      <c r="U80" s="178" t="inlineStr">
        <is>
          <t>0x00</t>
        </is>
      </c>
      <c r="V80" s="178" t="inlineStr">
        <is>
          <t>0x00</t>
        </is>
      </c>
      <c r="W80" s="180">
        <f>"0x"&amp;MID(D80,64,2)</f>
        <v/>
      </c>
      <c r="X80" s="180">
        <f>"0x"&amp;MID(D80,67,2)</f>
        <v/>
      </c>
      <c r="Y80" s="182">
        <f>CONCATENATE(RIGHT(G80,2)," ",RIGHT(H80,2)," ",RIGHT(I80,2)," ",RIGHT(J80,2)," ",RIGHT(K80,2)," ",RIGHT(L80,2)," ",RIGHT(M80,2)," ",RIGHT(N80,2)," ",RIGHT(O80,2)," ",RIGHT(P80,2)," ",RIGHT(Q80,2)," ",RIGHT(R80,2)," ",RIGHT(S80,2)," ",RIGHT(T80,2)," ",RIGHT(U80,2)," ",RIGHT(V80,2)," ",RIGHT(W80,2)," ",RIGHT(X80,2))</f>
        <v/>
      </c>
    </row>
    <row r="81" ht="29.25" customHeight="1" s="17">
      <c r="A81" s="222" t="n"/>
      <c r="B81" s="223" t="n"/>
      <c r="C81" s="160" t="inlineStr">
        <is>
          <t>Setting - BT656 - Progressive - 25Hz (for mini2 256)</t>
        </is>
      </c>
      <c r="D81" s="160" t="inlineStr">
        <is>
          <t>55 43 49 12 00 10 10 46 00 01 02 19 00 00 00 00 00 00 00 00 00 06 5f</t>
        </is>
      </c>
      <c r="E81" s="161" t="inlineStr">
        <is>
          <t>Para1[0]: 0x01, indicating digital output is enabled, Para1[1]: 0x02, indicating BT656 progressive output, Para1[2]: 0x19, indicating 25Hz output, the array size is consistent with the detector output</t>
        </is>
      </c>
      <c r="F81" s="191" t="n"/>
      <c r="G81" s="192" t="inlineStr">
        <is>
          <t>0x10</t>
        </is>
      </c>
      <c r="H81" s="178" t="inlineStr">
        <is>
          <t>0x10</t>
        </is>
      </c>
      <c r="I81" s="178" t="inlineStr">
        <is>
          <t>0x46</t>
        </is>
      </c>
      <c r="J81" s="178" t="inlineStr">
        <is>
          <t>0x00</t>
        </is>
      </c>
      <c r="K81" s="130" t="inlineStr">
        <is>
          <t>0x01</t>
        </is>
      </c>
      <c r="L81" s="130" t="inlineStr">
        <is>
          <t>0x02</t>
        </is>
      </c>
      <c r="M81" s="130" t="inlineStr">
        <is>
          <t>0x19</t>
        </is>
      </c>
      <c r="N81" s="178" t="inlineStr">
        <is>
          <t>0x00</t>
        </is>
      </c>
      <c r="O81" s="178" t="inlineStr">
        <is>
          <t>0x00</t>
        </is>
      </c>
      <c r="P81" s="178" t="inlineStr">
        <is>
          <t>0x00</t>
        </is>
      </c>
      <c r="Q81" s="178" t="inlineStr">
        <is>
          <t>0x00</t>
        </is>
      </c>
      <c r="R81" s="178" t="inlineStr">
        <is>
          <t>0x00</t>
        </is>
      </c>
      <c r="S81" s="178" t="inlineStr">
        <is>
          <t>0x00</t>
        </is>
      </c>
      <c r="T81" s="178" t="inlineStr">
        <is>
          <t>0x00</t>
        </is>
      </c>
      <c r="U81" s="178" t="inlineStr">
        <is>
          <t>0x00</t>
        </is>
      </c>
      <c r="V81" s="178" t="inlineStr">
        <is>
          <t>0x00</t>
        </is>
      </c>
      <c r="W81" s="180">
        <f>"0x"&amp;MID(D81,64,2)</f>
        <v/>
      </c>
      <c r="X81" s="180">
        <f>"0x"&amp;MID(D81,67,2)</f>
        <v/>
      </c>
      <c r="Y81" s="182">
        <f>CONCATENATE(RIGHT(G81,2)," ",RIGHT(H81,2)," ",RIGHT(I81,2)," ",RIGHT(J81,2)," ",RIGHT(K81,2)," ",RIGHT(L81,2)," ",RIGHT(M81,2)," ",RIGHT(N81,2)," ",RIGHT(O81,2)," ",RIGHT(P81,2)," ",RIGHT(Q81,2)," ",RIGHT(R81,2)," ",RIGHT(S81,2)," ",RIGHT(T81,2)," ",RIGHT(U81,2)," ",RIGHT(V81,2)," ",RIGHT(W81,2)," ",RIGHT(X81,2))</f>
        <v/>
      </c>
    </row>
    <row r="82" ht="29.25" customHeight="1" s="17">
      <c r="A82" s="222" t="n"/>
      <c r="B82" s="223" t="n"/>
      <c r="C82" s="160" t="inlineStr">
        <is>
          <t>Setting - BT656 - Progressive - 50Hz (for mini2 256)</t>
        </is>
      </c>
      <c r="D82" s="160" t="inlineStr">
        <is>
          <t>55 43 49 12 00 10 10 46 00 01 02 32 00 00 00 00 00 00 00 00 00 8f 9d</t>
        </is>
      </c>
      <c r="E82" s="161" t="inlineStr">
        <is>
          <t>Para1[0]: 0x01, indicating digital output is enabled, Para1[1]: 0x02, indicating BT656 progressive output, Para1[2]: 0x32, indicating 50Hz output, the array size is consistent with the detector output</t>
        </is>
      </c>
      <c r="F82" s="191" t="n"/>
      <c r="G82" s="192" t="inlineStr">
        <is>
          <t>0x10</t>
        </is>
      </c>
      <c r="H82" s="178" t="inlineStr">
        <is>
          <t>0x10</t>
        </is>
      </c>
      <c r="I82" s="178" t="inlineStr">
        <is>
          <t>0x46</t>
        </is>
      </c>
      <c r="J82" s="178" t="inlineStr">
        <is>
          <t>0x00</t>
        </is>
      </c>
      <c r="K82" s="130" t="inlineStr">
        <is>
          <t>0x01</t>
        </is>
      </c>
      <c r="L82" s="130" t="inlineStr">
        <is>
          <t>0x02</t>
        </is>
      </c>
      <c r="M82" s="130" t="inlineStr">
        <is>
          <t>0x32</t>
        </is>
      </c>
      <c r="N82" s="178" t="inlineStr">
        <is>
          <t>0x00</t>
        </is>
      </c>
      <c r="O82" s="178" t="inlineStr">
        <is>
          <t>0x00</t>
        </is>
      </c>
      <c r="P82" s="178" t="inlineStr">
        <is>
          <t>0x00</t>
        </is>
      </c>
      <c r="Q82" s="178" t="inlineStr">
        <is>
          <t>0x00</t>
        </is>
      </c>
      <c r="R82" s="178" t="inlineStr">
        <is>
          <t>0x00</t>
        </is>
      </c>
      <c r="S82" s="178" t="inlineStr">
        <is>
          <t>0x00</t>
        </is>
      </c>
      <c r="T82" s="178" t="inlineStr">
        <is>
          <t>0x00</t>
        </is>
      </c>
      <c r="U82" s="178" t="inlineStr">
        <is>
          <t>0x00</t>
        </is>
      </c>
      <c r="V82" s="178" t="inlineStr">
        <is>
          <t>0x00</t>
        </is>
      </c>
      <c r="W82" s="180">
        <f>"0x"&amp;MID(D82,64,2)</f>
        <v/>
      </c>
      <c r="X82" s="180">
        <f>"0x"&amp;MID(D82,67,2)</f>
        <v/>
      </c>
      <c r="Y82" s="182">
        <f>CONCATENATE(RIGHT(G82,2)," ",RIGHT(H82,2)," ",RIGHT(I82,2)," ",RIGHT(J82,2)," ",RIGHT(K82,2)," ",RIGHT(L82,2)," ",RIGHT(M82,2)," ",RIGHT(N82,2)," ",RIGHT(O82,2)," ",RIGHT(P82,2)," ",RIGHT(Q82,2)," ",RIGHT(R82,2)," ",RIGHT(S82,2)," ",RIGHT(T82,2)," ",RIGHT(U82,2)," ",RIGHT(V82,2)," ",RIGHT(W82,2)," ",RIGHT(X82,2))</f>
        <v/>
      </c>
    </row>
    <row r="83" ht="29.25" customHeight="1" s="17">
      <c r="A83" s="222" t="n"/>
      <c r="B83" s="223" t="n"/>
      <c r="C83" s="160" t="inlineStr">
        <is>
          <t>Setting - MIPI - Progressive - 25Hz (for mini2 256)</t>
        </is>
      </c>
      <c r="D83" s="160" t="inlineStr">
        <is>
          <t>55 43 49 12 00 10 10 46 00 01 03 19 00 00 00 00 00 00 00 00 00 4f 87</t>
        </is>
      </c>
      <c r="E83" s="190" t="inlineStr">
        <is>
          <t>Para1[0]: 0x01, indicating digital output is enabled, Para1[1]: 0x03, indicating MIPI progressive output, Para1[2]: 0x19, indicating 25Hz output, the array size is consistent with the detector output</t>
        </is>
      </c>
      <c r="F83" s="191" t="n"/>
      <c r="G83" s="192" t="inlineStr">
        <is>
          <t>0x10</t>
        </is>
      </c>
      <c r="H83" s="178" t="inlineStr">
        <is>
          <t>0x10</t>
        </is>
      </c>
      <c r="I83" s="178" t="inlineStr">
        <is>
          <t>0x46</t>
        </is>
      </c>
      <c r="J83" s="178" t="inlineStr">
        <is>
          <t>0x00</t>
        </is>
      </c>
      <c r="K83" s="130" t="inlineStr">
        <is>
          <t>0x01</t>
        </is>
      </c>
      <c r="L83" s="130" t="inlineStr">
        <is>
          <t>0x03</t>
        </is>
      </c>
      <c r="M83" s="130" t="inlineStr">
        <is>
          <t>0x19</t>
        </is>
      </c>
      <c r="N83" s="178" t="inlineStr">
        <is>
          <t>0x00</t>
        </is>
      </c>
      <c r="O83" s="178" t="inlineStr">
        <is>
          <t>0x00</t>
        </is>
      </c>
      <c r="P83" s="178" t="inlineStr">
        <is>
          <t>0x00</t>
        </is>
      </c>
      <c r="Q83" s="178" t="inlineStr">
        <is>
          <t>0x00</t>
        </is>
      </c>
      <c r="R83" s="178" t="inlineStr">
        <is>
          <t>0x00</t>
        </is>
      </c>
      <c r="S83" s="178" t="inlineStr">
        <is>
          <t>0x00</t>
        </is>
      </c>
      <c r="T83" s="178" t="inlineStr">
        <is>
          <t>0x00</t>
        </is>
      </c>
      <c r="U83" s="178" t="inlineStr">
        <is>
          <t>0x00</t>
        </is>
      </c>
      <c r="V83" s="178" t="inlineStr">
        <is>
          <t>0x00</t>
        </is>
      </c>
      <c r="W83" s="180">
        <f>"0x"&amp;MID(D83,64,2)</f>
        <v/>
      </c>
      <c r="X83" s="180">
        <f>"0x"&amp;MID(D83,67,2)</f>
        <v/>
      </c>
      <c r="Y83" s="182">
        <f>CONCATENATE(RIGHT(G83,2)," ",RIGHT(H83,2)," ",RIGHT(I83,2)," ",RIGHT(J83,2)," ",RIGHT(K83,2)," ",RIGHT(L83,2)," ",RIGHT(M83,2)," ",RIGHT(N83,2)," ",RIGHT(O83,2)," ",RIGHT(P83,2)," ",RIGHT(Q83,2)," ",RIGHT(R83,2)," ",RIGHT(S83,2)," ",RIGHT(T83,2)," ",RIGHT(U83,2)," ",RIGHT(V83,2)," ",RIGHT(W83,2)," ",RIGHT(X83,2))</f>
        <v/>
      </c>
    </row>
    <row r="84" ht="29.25" customHeight="1" s="17">
      <c r="A84" s="222" t="n"/>
      <c r="B84" s="223" t="n"/>
      <c r="C84" s="160" t="inlineStr">
        <is>
          <t>Setting - MIPI - Progressive - 50Hz (for mini2 256)</t>
        </is>
      </c>
      <c r="D84" s="160" t="inlineStr">
        <is>
          <t>55 43 49 12 00 10 10 46 00 01 03 32 00 00 00 00 00 00 00 00 00 c6 45</t>
        </is>
      </c>
      <c r="E84" s="190" t="inlineStr">
        <is>
          <t>Para1[0]: 0x01, indicating digital output is enabled, Para1[1]: 0x03, indicating MIPI progressive output, Para1[2]: 0x32, indicating 50Hz output, the array size is consistent with the detector output</t>
        </is>
      </c>
      <c r="F84" s="191" t="n"/>
      <c r="G84" s="192" t="inlineStr">
        <is>
          <t>0x10</t>
        </is>
      </c>
      <c r="H84" s="178" t="inlineStr">
        <is>
          <t>0x10</t>
        </is>
      </c>
      <c r="I84" s="178" t="inlineStr">
        <is>
          <t>0x46</t>
        </is>
      </c>
      <c r="J84" s="178" t="inlineStr">
        <is>
          <t>0x00</t>
        </is>
      </c>
      <c r="K84" s="130" t="inlineStr">
        <is>
          <t>0x01</t>
        </is>
      </c>
      <c r="L84" s="130" t="inlineStr">
        <is>
          <t>0x03</t>
        </is>
      </c>
      <c r="M84" s="130" t="inlineStr">
        <is>
          <t>0x32</t>
        </is>
      </c>
      <c r="N84" s="178" t="inlineStr">
        <is>
          <t>0x00</t>
        </is>
      </c>
      <c r="O84" s="178" t="inlineStr">
        <is>
          <t>0x00</t>
        </is>
      </c>
      <c r="P84" s="178" t="inlineStr">
        <is>
          <t>0x00</t>
        </is>
      </c>
      <c r="Q84" s="178" t="inlineStr">
        <is>
          <t>0x00</t>
        </is>
      </c>
      <c r="R84" s="178" t="inlineStr">
        <is>
          <t>0x00</t>
        </is>
      </c>
      <c r="S84" s="178" t="inlineStr">
        <is>
          <t>0x00</t>
        </is>
      </c>
      <c r="T84" s="178" t="inlineStr">
        <is>
          <t>0x00</t>
        </is>
      </c>
      <c r="U84" s="178" t="inlineStr">
        <is>
          <t>0x00</t>
        </is>
      </c>
      <c r="V84" s="178" t="inlineStr">
        <is>
          <t>0x00</t>
        </is>
      </c>
      <c r="W84" s="180">
        <f>"0x"&amp;MID(D84,64,2)</f>
        <v/>
      </c>
      <c r="X84" s="180">
        <f>"0x"&amp;MID(D84,67,2)</f>
        <v/>
      </c>
      <c r="Y84" s="182">
        <f>CONCATENATE(RIGHT(G84,2)," ",RIGHT(H84,2)," ",RIGHT(I84,2)," ",RIGHT(J84,2)," ",RIGHT(K84,2)," ",RIGHT(L84,2)," ",RIGHT(M84,2)," ",RIGHT(N84,2)," ",RIGHT(O84,2)," ",RIGHT(P84,2)," ",RIGHT(Q84,2)," ",RIGHT(R84,2)," ",RIGHT(S84,2)," ",RIGHT(T84,2)," ",RIGHT(U84,2)," ",RIGHT(V84,2)," ",RIGHT(W84,2)," ",RIGHT(X84,2))</f>
        <v/>
      </c>
    </row>
    <row r="85" ht="29.25" customHeight="1" s="17">
      <c r="A85" s="222" t="n"/>
      <c r="B85" s="223" t="n"/>
      <c r="C85" s="160" t="inlineStr">
        <is>
          <t>Setting - Disable Digital Output</t>
        </is>
      </c>
      <c r="D85" s="160" t="inlineStr">
        <is>
          <t>55 43 49 12 00 10 10 46 00 00 00 00 00 00 00 00 00 00 00 00 00 58 4d</t>
        </is>
      </c>
      <c r="E85" s="190" t="inlineStr">
        <is>
          <t>Para1[0]: 0x00, indicating digital output is disabled</t>
        </is>
      </c>
      <c r="F85" s="191" t="n"/>
      <c r="G85" s="192" t="inlineStr">
        <is>
          <t>0x10</t>
        </is>
      </c>
      <c r="H85" s="178" t="inlineStr">
        <is>
          <t>0x10</t>
        </is>
      </c>
      <c r="I85" s="178" t="inlineStr">
        <is>
          <t>0x46</t>
        </is>
      </c>
      <c r="J85" s="178" t="inlineStr">
        <is>
          <t>0x00</t>
        </is>
      </c>
      <c r="K85" s="130" t="inlineStr">
        <is>
          <t>0x00</t>
        </is>
      </c>
      <c r="L85" s="178" t="inlineStr">
        <is>
          <t>0x00</t>
        </is>
      </c>
      <c r="M85" s="178" t="inlineStr">
        <is>
          <t>0x00</t>
        </is>
      </c>
      <c r="N85" s="178" t="inlineStr">
        <is>
          <t>0x00</t>
        </is>
      </c>
      <c r="O85" s="178" t="inlineStr">
        <is>
          <t>0x00</t>
        </is>
      </c>
      <c r="P85" s="178" t="inlineStr">
        <is>
          <t>0x00</t>
        </is>
      </c>
      <c r="Q85" s="178" t="inlineStr">
        <is>
          <t>0x00</t>
        </is>
      </c>
      <c r="R85" s="178" t="inlineStr">
        <is>
          <t>0x00</t>
        </is>
      </c>
      <c r="S85" s="178" t="inlineStr">
        <is>
          <t>0x00</t>
        </is>
      </c>
      <c r="T85" s="178" t="inlineStr">
        <is>
          <t>0x00</t>
        </is>
      </c>
      <c r="U85" s="178" t="inlineStr">
        <is>
          <t>0x00</t>
        </is>
      </c>
      <c r="V85" s="178" t="inlineStr">
        <is>
          <t>0x00</t>
        </is>
      </c>
      <c r="W85" s="180">
        <f>"0x"&amp;MID(D85,64,2)</f>
        <v/>
      </c>
      <c r="X85" s="180">
        <f>"0x"&amp;MID(D85,67,2)</f>
        <v/>
      </c>
      <c r="Y85" s="182">
        <f>CONCATENATE(RIGHT(G85,2)," ",RIGHT(H85,2)," ",RIGHT(I85,2)," ",RIGHT(J85,2)," ",RIGHT(K85,2)," ",RIGHT(L85,2)," ",RIGHT(M85,2)," ",RIGHT(N85,2)," ",RIGHT(O85,2)," ",RIGHT(P85,2)," ",RIGHT(Q85,2)," ",RIGHT(R85,2)," ",RIGHT(S85,2)," ",RIGHT(T85,2)," ",RIGHT(U85,2)," ",RIGHT(V85,2)," ",RIGHT(W85,2)," ",RIGHT(X85,2))</f>
        <v/>
      </c>
    </row>
    <row r="86" ht="156.75" customHeight="1" s="17">
      <c r="A86" s="222" t="n"/>
      <c r="B86" s="225" t="n"/>
      <c r="C86" s="160" t="inlineStr">
        <is>
          <t>Get</t>
        </is>
      </c>
      <c r="D86" s="159" t="inlineStr">
        <is>
          <t>55 43 49 12 00 10 10 86 00 00 00 00 00 00 00 00 00 04 00 00 00 68 fb</t>
        </is>
      </c>
      <c r="E86" s="161" t="inlineStr">
        <is>
          <t>BE AA 05 00 00 00 00 00 00 f5 56 EB AA: 00 indicates digital output off
BE AA 05 00 00 01 00 1e 00 3d 00 EB AA: 01 indicates digital output on, 00 indicates USB output, 1e indicates output frame rate of 30hz
BE AA 05 00 00 01 00 3C 00 B9 60 EB AA: 01 indicates digital output on, 00 indicates USB output, 3c indicates output frame rate of 60hz
BE AA 05 00 00 01 01 1e 00 0d 37 EB AA: 01 indicates digital output on, 01 indicates DVP output, 1e indicates output frame rate of 30hz
BE AA 05 00 00 01 02 1E 00 5D 6E EB AA: 01 indicates digital output on, 02 indicates BT656 output, 1E indicates output frame rate of 30hz
BE AA 05 00 00 01 02 3C 00 0d 37 EB AA: 01 indicates digital output on, 02 indicates BT656 output, 3C indicates output frame rate of 60hz</t>
        </is>
      </c>
      <c r="F86" s="191" t="n"/>
      <c r="G86" s="192" t="inlineStr">
        <is>
          <t>0x10</t>
        </is>
      </c>
      <c r="H86" s="178" t="inlineStr">
        <is>
          <t>0x10</t>
        </is>
      </c>
      <c r="I86" s="178" t="inlineStr">
        <is>
          <t>0x86</t>
        </is>
      </c>
      <c r="J86" s="178" t="inlineStr">
        <is>
          <t>0x00</t>
        </is>
      </c>
      <c r="K86" s="178" t="inlineStr">
        <is>
          <t>0x00</t>
        </is>
      </c>
      <c r="L86" s="178" t="inlineStr">
        <is>
          <t>0x00</t>
        </is>
      </c>
      <c r="M86" s="178" t="inlineStr">
        <is>
          <t>0x00</t>
        </is>
      </c>
      <c r="N86" s="178" t="inlineStr">
        <is>
          <t>0x00</t>
        </is>
      </c>
      <c r="O86" s="178" t="inlineStr">
        <is>
          <t>0x00</t>
        </is>
      </c>
      <c r="P86" s="177" t="inlineStr">
        <is>
          <t>0x00</t>
        </is>
      </c>
      <c r="Q86" s="177" t="inlineStr">
        <is>
          <t>0x00</t>
        </is>
      </c>
      <c r="R86" s="177" t="inlineStr">
        <is>
          <t>0x00</t>
        </is>
      </c>
      <c r="S86" s="177" t="inlineStr">
        <is>
          <t>0X04</t>
        </is>
      </c>
      <c r="T86" s="177" t="inlineStr">
        <is>
          <t>0x00</t>
        </is>
      </c>
      <c r="U86" s="177" t="inlineStr">
        <is>
          <t>0x00</t>
        </is>
      </c>
      <c r="V86" s="177" t="inlineStr">
        <is>
          <t>0x00</t>
        </is>
      </c>
      <c r="W86" s="180">
        <f>"0x"&amp;MID(D86,64,2)</f>
        <v/>
      </c>
      <c r="X86" s="180">
        <f>"0x"&amp;MID(D86,67,2)</f>
        <v/>
      </c>
      <c r="Y86" s="182">
        <f>CONCATENATE(RIGHT(G86,2)," ",RIGHT(H86,2)," ",RIGHT(I86,2)," ",RIGHT(J86,2)," ",RIGHT(K86,2)," ",RIGHT(L86,2)," ",RIGHT(M86,2)," ",RIGHT(N86,2)," ",RIGHT(O86,2)," ",RIGHT(P86,2)," ",RIGHT(Q86,2)," ",RIGHT(R86,2)," ",RIGHT(S86,2)," ",RIGHT(T86,2)," ",RIGHT(U86,2)," ",RIGHT(V86,2)," ",RIGHT(W86,2)," ",RIGHT(X86,2))</f>
        <v/>
      </c>
    </row>
    <row r="87">
      <c r="A87" s="222" t="n"/>
      <c r="B87" s="158" t="n"/>
      <c r="C87" s="160" t="n"/>
      <c r="D87" s="159" t="n"/>
      <c r="E87" s="161" t="n"/>
      <c r="F87" s="191" t="n"/>
      <c r="K87" s="178" t="n"/>
      <c r="P87" s="177" t="n"/>
      <c r="Q87" s="177" t="n"/>
      <c r="R87" s="177" t="n"/>
      <c r="S87" s="177" t="n"/>
      <c r="T87" s="177" t="n"/>
      <c r="U87" s="177" t="n"/>
      <c r="V87" s="177" t="n"/>
      <c r="W87" s="180" t="n"/>
      <c r="X87" s="180" t="n"/>
      <c r="Y87" s="182" t="n"/>
    </row>
    <row r="88">
      <c r="A88" s="222" t="n"/>
      <c r="B88" s="160" t="inlineStr">
        <is>
          <t>Analog video format</t>
        </is>
      </c>
      <c r="C88" s="160" t="inlineStr">
        <is>
          <t>Settings - Enable NTSC</t>
        </is>
      </c>
      <c r="D88" s="160" t="inlineStr">
        <is>
          <t>55 43 49 12 00 10 10 4a 00 01 00 00 00 00 00 00 00 00 00 00 00 e3 58</t>
        </is>
      </c>
      <c r="E88" s="161" t="inlineStr">
        <is>
          <t>To switch from PAL to NTSC, you must first send the close analog command, then send this command</t>
        </is>
      </c>
      <c r="F88" s="191" t="n"/>
      <c r="G88" s="192" t="inlineStr">
        <is>
          <t>0x10</t>
        </is>
      </c>
      <c r="H88" s="178" t="inlineStr">
        <is>
          <t>0x10</t>
        </is>
      </c>
      <c r="I88" s="178" t="inlineStr">
        <is>
          <t>0x4A</t>
        </is>
      </c>
      <c r="J88" s="178" t="inlineStr">
        <is>
          <t>0x00</t>
        </is>
      </c>
      <c r="K88" s="178" t="inlineStr">
        <is>
          <t>0x01</t>
        </is>
      </c>
      <c r="L88" s="178" t="inlineStr">
        <is>
          <t>0x00</t>
        </is>
      </c>
      <c r="M88" s="178" t="inlineStr">
        <is>
          <t>0x00</t>
        </is>
      </c>
      <c r="N88" s="178" t="inlineStr">
        <is>
          <t>0x00</t>
        </is>
      </c>
      <c r="O88" s="178" t="inlineStr">
        <is>
          <t>0x00</t>
        </is>
      </c>
      <c r="P88" s="178" t="inlineStr">
        <is>
          <t>0x00</t>
        </is>
      </c>
      <c r="Q88" s="178" t="inlineStr">
        <is>
          <t>0x00</t>
        </is>
      </c>
      <c r="R88" s="178" t="inlineStr">
        <is>
          <t>0x00</t>
        </is>
      </c>
      <c r="S88" s="178" t="inlineStr">
        <is>
          <t>0x00</t>
        </is>
      </c>
      <c r="T88" s="178" t="inlineStr">
        <is>
          <t>0x00</t>
        </is>
      </c>
      <c r="U88" s="178" t="inlineStr">
        <is>
          <t>0x00</t>
        </is>
      </c>
      <c r="V88" s="178" t="inlineStr">
        <is>
          <t>0x00</t>
        </is>
      </c>
      <c r="W88" s="180">
        <f>"0x"&amp;MID(D88,64,2)</f>
        <v/>
      </c>
      <c r="X88" s="180">
        <f>"0x"&amp;MID(D88,67,2)</f>
        <v/>
      </c>
      <c r="Y88" s="182">
        <f>CONCATENATE(RIGHT(G88,2)," ",RIGHT(H88,2)," ",RIGHT(I88,2)," ",RIGHT(J88,2)," ",RIGHT(K88,2)," ",RIGHT(L88,2)," ",RIGHT(M88,2)," ",RIGHT(N88,2)," ",RIGHT(O88,2)," ",RIGHT(P88,2)," ",RIGHT(Q88,2)," ",RIGHT(R88,2)," ",RIGHT(S88,2)," ",RIGHT(T88,2)," ",RIGHT(U88,2)," ",RIGHT(V88,2)," ",RIGHT(W88,2)," ",RIGHT(X88,2))</f>
        <v/>
      </c>
    </row>
    <row r="89">
      <c r="A89" s="222" t="n"/>
      <c r="B89" s="223" t="n"/>
      <c r="C89" s="160" t="inlineStr">
        <is>
          <t>Settings - Enable PAL</t>
        </is>
      </c>
      <c r="D89" s="160" t="inlineStr">
        <is>
          <t>55 43 49 12 00 10 10 4a 00 01 01 00 00 00 00 00 00 00 00 00 00 aa 80</t>
        </is>
      </c>
      <c r="E89" s="161" t="inlineStr">
        <is>
          <t>To switch from NTSC to PAL, you must first send the close analog command, then send this command</t>
        </is>
      </c>
      <c r="F89" s="191" t="n"/>
      <c r="G89" s="192" t="inlineStr">
        <is>
          <t>0x10</t>
        </is>
      </c>
      <c r="H89" s="178" t="inlineStr">
        <is>
          <t>0x10</t>
        </is>
      </c>
      <c r="I89" s="178" t="inlineStr">
        <is>
          <t>0x4A</t>
        </is>
      </c>
      <c r="J89" s="178" t="inlineStr">
        <is>
          <t>0x00</t>
        </is>
      </c>
      <c r="K89" s="178" t="inlineStr">
        <is>
          <t>0x01</t>
        </is>
      </c>
      <c r="L89" s="178" t="inlineStr">
        <is>
          <t>0x01</t>
        </is>
      </c>
      <c r="M89" s="178" t="inlineStr">
        <is>
          <t>0x00</t>
        </is>
      </c>
      <c r="N89" s="178" t="inlineStr">
        <is>
          <t>0x00</t>
        </is>
      </c>
      <c r="O89" s="178" t="inlineStr">
        <is>
          <t>0x00</t>
        </is>
      </c>
      <c r="P89" s="178" t="inlineStr">
        <is>
          <t>0x00</t>
        </is>
      </c>
      <c r="Q89" s="178" t="inlineStr">
        <is>
          <t>0x00</t>
        </is>
      </c>
      <c r="R89" s="178" t="inlineStr">
        <is>
          <t>0x00</t>
        </is>
      </c>
      <c r="S89" s="178" t="inlineStr">
        <is>
          <t>0x00</t>
        </is>
      </c>
      <c r="T89" s="178" t="inlineStr">
        <is>
          <t>0x00</t>
        </is>
      </c>
      <c r="U89" s="178" t="inlineStr">
        <is>
          <t>0x00</t>
        </is>
      </c>
      <c r="V89" s="178" t="inlineStr">
        <is>
          <t>0x00</t>
        </is>
      </c>
      <c r="W89" s="180">
        <f>"0x"&amp;MID(D89,64,2)</f>
        <v/>
      </c>
      <c r="X89" s="180">
        <f>"0x"&amp;MID(D89,67,2)</f>
        <v/>
      </c>
      <c r="Y89" s="182">
        <f>CONCATENATE(RIGHT(G89,2)," ",RIGHT(H89,2)," ",RIGHT(I89,2)," ",RIGHT(J89,2)," ",RIGHT(K89,2)," ",RIGHT(L89,2)," ",RIGHT(M89,2)," ",RIGHT(N89,2)," ",RIGHT(O89,2)," ",RIGHT(P89,2)," ",RIGHT(Q89,2)," ",RIGHT(R89,2)," ",RIGHT(S89,2)," ",RIGHT(T89,2)," ",RIGHT(U89,2)," ",RIGHT(V89,2)," ",RIGHT(W89,2)," ",RIGHT(X89,2))</f>
        <v/>
      </c>
    </row>
    <row r="90" ht="20.1" customHeight="1" s="17">
      <c r="A90" s="222" t="n"/>
      <c r="B90" s="223" t="n"/>
      <c r="C90" s="160" t="inlineStr">
        <is>
          <t>Settings - Close analog</t>
        </is>
      </c>
      <c r="D90" s="160" t="inlineStr">
        <is>
          <t>55 43 49 12 00 10 10 4a 00 00 00 00 00 00 00 00 00 00 00 00 00 96 5b</t>
        </is>
      </c>
      <c r="E90" s="161" t="n"/>
      <c r="F90" s="191" t="n"/>
      <c r="G90" s="192" t="inlineStr">
        <is>
          <t>0x10</t>
        </is>
      </c>
      <c r="H90" s="178" t="inlineStr">
        <is>
          <t>0x10</t>
        </is>
      </c>
      <c r="I90" s="178" t="inlineStr">
        <is>
          <t>0x4A</t>
        </is>
      </c>
      <c r="J90" s="178" t="inlineStr">
        <is>
          <t>0x00</t>
        </is>
      </c>
      <c r="K90" s="178" t="inlineStr">
        <is>
          <t>0x00</t>
        </is>
      </c>
      <c r="L90" s="178" t="inlineStr">
        <is>
          <t>0x00</t>
        </is>
      </c>
      <c r="M90" s="178" t="inlineStr">
        <is>
          <t>0x00</t>
        </is>
      </c>
      <c r="N90" s="178" t="inlineStr">
        <is>
          <t>0x00</t>
        </is>
      </c>
      <c r="O90" s="178" t="inlineStr">
        <is>
          <t>0x00</t>
        </is>
      </c>
      <c r="P90" s="178" t="inlineStr">
        <is>
          <t>0x00</t>
        </is>
      </c>
      <c r="Q90" s="178" t="inlineStr">
        <is>
          <t>0x00</t>
        </is>
      </c>
      <c r="R90" s="178" t="inlineStr">
        <is>
          <t>0x00</t>
        </is>
      </c>
      <c r="S90" s="178" t="inlineStr">
        <is>
          <t>0x00</t>
        </is>
      </c>
      <c r="T90" s="178" t="inlineStr">
        <is>
          <t>0x00</t>
        </is>
      </c>
      <c r="U90" s="178" t="inlineStr">
        <is>
          <t>0x00</t>
        </is>
      </c>
      <c r="V90" s="178" t="inlineStr">
        <is>
          <t>0x00</t>
        </is>
      </c>
      <c r="W90" s="180">
        <f>"0x"&amp;MID(D90,64,2)</f>
        <v/>
      </c>
      <c r="X90" s="180">
        <f>"0x"&amp;MID(D90,67,2)</f>
        <v/>
      </c>
      <c r="Y90" s="182">
        <f>CONCATENATE(RIGHT(G90,2)," ",RIGHT(H90,2)," ",RIGHT(I90,2)," ",RIGHT(J90,2)," ",RIGHT(K90,2)," ",RIGHT(L90,2)," ",RIGHT(M90,2)," ",RIGHT(N90,2)," ",RIGHT(O90,2)," ",RIGHT(P90,2)," ",RIGHT(Q90,2)," ",RIGHT(R90,2)," ",RIGHT(S90,2)," ",RIGHT(T90,2)," ",RIGHT(U90,2)," ",RIGHT(V90,2)," ",RIGHT(W90,2)," ",RIGHT(X90,2))</f>
        <v/>
      </c>
    </row>
    <row r="91" ht="42.75" customHeight="1" s="17">
      <c r="A91" s="222" t="n"/>
      <c r="B91" s="225" t="n"/>
      <c r="C91" s="160" t="inlineStr">
        <is>
          <t>Get</t>
        </is>
      </c>
      <c r="D91" s="160" t="inlineStr">
        <is>
          <t>55 43 49 12 00 10 10 8a 00 00 00 00 00 00 00 00 00 02 00 00 00 3f ca</t>
        </is>
      </c>
      <c r="E91" s="161" t="inlineStr">
        <is>
          <t>BE AA 03 00 00 00 00 04 49 EB AA: Analog off
BE AA 03 00 00 01 00 35 7a EB AA: The first 01 indicates enable, 00 indicates NTSC
BE AA 03 00 00 01 01 14 6a EB AA: The first 01 indicates enable, 01 indicates PAL</t>
        </is>
      </c>
      <c r="F91" s="191" t="n"/>
      <c r="G91" s="192" t="inlineStr">
        <is>
          <t>0x10</t>
        </is>
      </c>
      <c r="H91" s="178" t="inlineStr">
        <is>
          <t>0x10</t>
        </is>
      </c>
      <c r="I91" s="178" t="inlineStr">
        <is>
          <t>0x8A</t>
        </is>
      </c>
      <c r="J91" s="178" t="inlineStr">
        <is>
          <t>0x00</t>
        </is>
      </c>
      <c r="K91" s="178" t="inlineStr">
        <is>
          <t>0x00</t>
        </is>
      </c>
      <c r="L91" s="178" t="inlineStr">
        <is>
          <t>0x00</t>
        </is>
      </c>
      <c r="M91" s="178" t="inlineStr">
        <is>
          <t>0x00</t>
        </is>
      </c>
      <c r="N91" s="178" t="inlineStr">
        <is>
          <t>0x00</t>
        </is>
      </c>
      <c r="O91" s="178" t="inlineStr">
        <is>
          <t>0x00</t>
        </is>
      </c>
      <c r="P91" s="178" t="inlineStr">
        <is>
          <t>0x00</t>
        </is>
      </c>
      <c r="Q91" s="178" t="inlineStr">
        <is>
          <t>0x00</t>
        </is>
      </c>
      <c r="R91" s="178" t="inlineStr">
        <is>
          <t>0x00</t>
        </is>
      </c>
      <c r="S91" s="130" t="inlineStr">
        <is>
          <t>0x02</t>
        </is>
      </c>
      <c r="T91" s="178" t="inlineStr">
        <is>
          <t>0x00</t>
        </is>
      </c>
      <c r="U91" s="178" t="inlineStr">
        <is>
          <t>0x00</t>
        </is>
      </c>
      <c r="V91" s="178" t="inlineStr">
        <is>
          <t>0x00</t>
        </is>
      </c>
      <c r="W91" s="180">
        <f>"0x"&amp;MID(D91,64,2)</f>
        <v/>
      </c>
      <c r="X91" s="180">
        <f>"0x"&amp;MID(D91,67,2)</f>
        <v/>
      </c>
      <c r="Y91" s="182">
        <f>CONCATENATE(RIGHT(G91,2)," ",RIGHT(H91,2)," ",RIGHT(I91,2)," ",RIGHT(J91,2)," ",RIGHT(K91,2)," ",RIGHT(L91,2)," ",RIGHT(M91,2)," ",RIGHT(N91,2)," ",RIGHT(O91,2)," ",RIGHT(P91,2)," ",RIGHT(Q91,2)," ",RIGHT(R91,2)," ",RIGHT(S91,2)," ",RIGHT(T91,2)," ",RIGHT(U91,2)," ",RIGHT(V91,2)," ",RIGHT(W91,2)," ",RIGHT(X91,2))</f>
        <v/>
      </c>
    </row>
    <row r="92" ht="28.5" customHeight="1" s="17">
      <c r="A92" s="222" t="n"/>
      <c r="B92" s="160" t="inlineStr">
        <is>
          <t>Save digital-analog output format</t>
        </is>
      </c>
      <c r="C92" s="160" t="inlineStr">
        <is>
          <t>Settings</t>
        </is>
      </c>
      <c r="D92" s="160" t="inlineStr">
        <is>
          <t>55 43 49 12 00 10 10 49 00 00 00 00 00 00 00 00 00 00 00 00 00 35 D6</t>
        </is>
      </c>
      <c r="E92" s="161" t="inlineStr">
        <is>
          <t>Sending this command will simultaneously save the digital video output format and the analog video output format
This state cannot be reset by the 'Parameter Recovery' command after saving, and can only be overwritten by the next save</t>
        </is>
      </c>
      <c r="F92" s="191" t="n"/>
      <c r="G92" s="192" t="inlineStr">
        <is>
          <t>0x10</t>
        </is>
      </c>
      <c r="H92" s="178" t="inlineStr">
        <is>
          <t>0x10</t>
        </is>
      </c>
      <c r="I92" s="178" t="inlineStr">
        <is>
          <t>0x49</t>
        </is>
      </c>
      <c r="J92" s="178" t="inlineStr">
        <is>
          <t>0x00</t>
        </is>
      </c>
      <c r="K92" s="130" t="inlineStr">
        <is>
          <t>0x00</t>
        </is>
      </c>
      <c r="L92" s="178" t="inlineStr">
        <is>
          <t>0x00</t>
        </is>
      </c>
      <c r="M92" s="178" t="inlineStr">
        <is>
          <t>0x00</t>
        </is>
      </c>
      <c r="N92" s="178" t="inlineStr">
        <is>
          <t>0x00</t>
        </is>
      </c>
      <c r="O92" s="178" t="inlineStr">
        <is>
          <t>0x00</t>
        </is>
      </c>
      <c r="P92" s="178" t="inlineStr">
        <is>
          <t>0x00</t>
        </is>
      </c>
      <c r="Q92" s="178" t="inlineStr">
        <is>
          <t>0x00</t>
        </is>
      </c>
      <c r="R92" s="178" t="inlineStr">
        <is>
          <t>0x00</t>
        </is>
      </c>
      <c r="S92" s="178" t="inlineStr">
        <is>
          <t>0x00</t>
        </is>
      </c>
      <c r="T92" s="178" t="inlineStr">
        <is>
          <t>0x00</t>
        </is>
      </c>
      <c r="U92" s="178" t="inlineStr">
        <is>
          <t>0x00</t>
        </is>
      </c>
      <c r="V92" s="178" t="inlineStr">
        <is>
          <t>0x00</t>
        </is>
      </c>
      <c r="W92" s="180">
        <f>"0x"&amp;MID(D92,64,2)</f>
        <v/>
      </c>
      <c r="X92" s="180">
        <f>"0x"&amp;MID(D92,67,2)</f>
        <v/>
      </c>
      <c r="Y92" s="182">
        <f>CONCATENATE(RIGHT(G92,2)," ",RIGHT(H92,2)," ",RIGHT(I92,2)," ",RIGHT(J92,2)," ",RIGHT(K92,2)," ",RIGHT(L92,2)," ",RIGHT(M92,2)," ",RIGHT(N92,2)," ",RIGHT(O92,2)," ",RIGHT(P92,2)," ",RIGHT(Q92,2)," ",RIGHT(R92,2)," ",RIGHT(S92,2)," ",RIGHT(T92,2)," ",RIGHT(U92,2)," ",RIGHT(V92,2)," ",RIGHT(W92,2)," ",RIGHT(X92,2))</f>
        <v/>
      </c>
    </row>
    <row r="93">
      <c r="A93" s="222" t="n"/>
      <c r="B93" s="160" t="inlineStr">
        <is>
          <t>Detector Frame Rate</t>
        </is>
      </c>
      <c r="C93" s="160" t="inlineStr">
        <is>
          <t>Set -30hz</t>
        </is>
      </c>
      <c r="D93" s="160" t="inlineStr">
        <is>
          <t>55 43 49 12 00 10 10 44 00 1E 00 00 00 00 00 00 00 00 00 00 00 5C 9C</t>
        </is>
      </c>
      <c r="E93" s="161" t="inlineStr">
        <is>
          <t>mini2 384/640 can be set, detector output switches to 30hz</t>
        </is>
      </c>
      <c r="F93" s="191" t="n"/>
      <c r="G93" s="192" t="inlineStr">
        <is>
          <t>0x10</t>
        </is>
      </c>
      <c r="H93" s="178" t="inlineStr">
        <is>
          <t>0x10</t>
        </is>
      </c>
      <c r="I93" s="178" t="inlineStr">
        <is>
          <t>0x44</t>
        </is>
      </c>
      <c r="J93" s="178" t="inlineStr">
        <is>
          <t>0x00</t>
        </is>
      </c>
      <c r="K93" s="130" t="inlineStr">
        <is>
          <t>0x1E</t>
        </is>
      </c>
      <c r="L93" s="178" t="inlineStr">
        <is>
          <t>0x00</t>
        </is>
      </c>
      <c r="M93" s="178" t="inlineStr">
        <is>
          <t>0x00</t>
        </is>
      </c>
      <c r="N93" s="178" t="inlineStr">
        <is>
          <t>0x00</t>
        </is>
      </c>
      <c r="O93" s="178" t="inlineStr">
        <is>
          <t>0x00</t>
        </is>
      </c>
      <c r="P93" s="178" t="inlineStr">
        <is>
          <t>0x00</t>
        </is>
      </c>
      <c r="Q93" s="178" t="inlineStr">
        <is>
          <t>0x00</t>
        </is>
      </c>
      <c r="R93" s="178" t="inlineStr">
        <is>
          <t>0x00</t>
        </is>
      </c>
      <c r="S93" s="178" t="inlineStr">
        <is>
          <t>0x00</t>
        </is>
      </c>
      <c r="T93" s="178" t="inlineStr">
        <is>
          <t>0x00</t>
        </is>
      </c>
      <c r="U93" s="178" t="inlineStr">
        <is>
          <t>0x00</t>
        </is>
      </c>
      <c r="V93" s="178" t="inlineStr">
        <is>
          <t>0x00</t>
        </is>
      </c>
      <c r="W93" s="180">
        <f>"0x"&amp;MID(D93,64,2)</f>
        <v/>
      </c>
      <c r="X93" s="180">
        <f>"0x"&amp;MID(D93,67,2)</f>
        <v/>
      </c>
      <c r="Y93" s="182">
        <f>CONCATENATE(RIGHT(G93,2)," ",RIGHT(H93,2)," ",RIGHT(I93,2)," ",RIGHT(J93,2)," ",RIGHT(K93,2)," ",RIGHT(L93,2)," ",RIGHT(M93,2)," ",RIGHT(N93,2)," ",RIGHT(O93,2)," ",RIGHT(P93,2)," ",RIGHT(Q93,2)," ",RIGHT(R93,2)," ",RIGHT(S93,2)," ",RIGHT(T93,2)," ",RIGHT(U93,2)," ",RIGHT(V93,2)," ",RIGHT(W93,2)," ",RIGHT(X93,2))</f>
        <v/>
      </c>
    </row>
    <row r="94">
      <c r="A94" s="222" t="n"/>
      <c r="B94" s="223" t="n"/>
      <c r="C94" s="160" t="inlineStr">
        <is>
          <t>Set -60hz</t>
        </is>
      </c>
      <c r="D94" s="160" t="inlineStr">
        <is>
          <t>55 43 49 12 00 10 10 44 00 3C 00 00 00 00 00 00 00 00 00 00 00 16 F4</t>
        </is>
      </c>
      <c r="E94" s="161" t="inlineStr">
        <is>
          <t>mini2 384/640 can be set, detector output switches to 60hz</t>
        </is>
      </c>
      <c r="F94" s="191" t="n"/>
      <c r="G94" s="192" t="inlineStr">
        <is>
          <t>0x10</t>
        </is>
      </c>
      <c r="H94" s="178" t="inlineStr">
        <is>
          <t>0x10</t>
        </is>
      </c>
      <c r="I94" s="178" t="inlineStr">
        <is>
          <t>0x44</t>
        </is>
      </c>
      <c r="J94" s="178" t="inlineStr">
        <is>
          <t>0x00</t>
        </is>
      </c>
      <c r="K94" s="130" t="inlineStr">
        <is>
          <t>0x3C</t>
        </is>
      </c>
      <c r="L94" s="178" t="inlineStr">
        <is>
          <t>0x00</t>
        </is>
      </c>
      <c r="M94" s="178" t="inlineStr">
        <is>
          <t>0x00</t>
        </is>
      </c>
      <c r="N94" s="178" t="inlineStr">
        <is>
          <t>0x00</t>
        </is>
      </c>
      <c r="O94" s="178" t="inlineStr">
        <is>
          <t>0x00</t>
        </is>
      </c>
      <c r="P94" s="178" t="inlineStr">
        <is>
          <t>0x00</t>
        </is>
      </c>
      <c r="Q94" s="178" t="inlineStr">
        <is>
          <t>0x00</t>
        </is>
      </c>
      <c r="R94" s="178" t="inlineStr">
        <is>
          <t>0x00</t>
        </is>
      </c>
      <c r="S94" s="178" t="inlineStr">
        <is>
          <t>0x00</t>
        </is>
      </c>
      <c r="T94" s="178" t="inlineStr">
        <is>
          <t>0x00</t>
        </is>
      </c>
      <c r="U94" s="178" t="inlineStr">
        <is>
          <t>0x00</t>
        </is>
      </c>
      <c r="V94" s="178" t="inlineStr">
        <is>
          <t>0x00</t>
        </is>
      </c>
      <c r="W94" s="180">
        <f>"0x"&amp;MID(D94,64,2)</f>
        <v/>
      </c>
      <c r="X94" s="180">
        <f>"0x"&amp;MID(D94,67,2)</f>
        <v/>
      </c>
      <c r="Y94" s="182">
        <f>CONCATENATE(RIGHT(G94,2)," ",RIGHT(H94,2)," ",RIGHT(I94,2)," ",RIGHT(J94,2)," ",RIGHT(K94,2)," ",RIGHT(L94,2)," ",RIGHT(M94,2)," ",RIGHT(N94,2)," ",RIGHT(O94,2)," ",RIGHT(P94,2)," ",RIGHT(Q94,2)," ",RIGHT(R94,2)," ",RIGHT(S94,2)," ",RIGHT(T94,2)," ",RIGHT(U94,2)," ",RIGHT(V94,2)," ",RIGHT(W94,2)," ",RIGHT(X94,2))</f>
        <v/>
      </c>
    </row>
    <row r="95">
      <c r="A95" s="222" t="n"/>
      <c r="B95" s="223" t="n"/>
      <c r="C95" s="160" t="inlineStr">
        <is>
          <t>Set -25hz</t>
        </is>
      </c>
      <c r="D95" s="160" t="inlineStr">
        <is>
          <t>55 43 49 12 00 10 10 44 00 19 00 00 00 00 00 00 00 00 00 00 00 17 94</t>
        </is>
      </c>
      <c r="E95" s="161" t="inlineStr">
        <is>
          <t>mini2 256 can be set, detector output switches to 25hz</t>
        </is>
      </c>
      <c r="F95" s="191" t="n"/>
      <c r="G95" s="192" t="inlineStr">
        <is>
          <t>0x10</t>
        </is>
      </c>
      <c r="H95" s="178" t="inlineStr">
        <is>
          <t>0x10</t>
        </is>
      </c>
      <c r="I95" s="178" t="inlineStr">
        <is>
          <t>0x44</t>
        </is>
      </c>
      <c r="J95" s="178" t="inlineStr">
        <is>
          <t>0x00</t>
        </is>
      </c>
      <c r="K95" s="130" t="inlineStr">
        <is>
          <t>0x19</t>
        </is>
      </c>
      <c r="L95" s="178" t="inlineStr">
        <is>
          <t>0x00</t>
        </is>
      </c>
      <c r="M95" s="178" t="inlineStr">
        <is>
          <t>0x00</t>
        </is>
      </c>
      <c r="N95" s="178" t="inlineStr">
        <is>
          <t>0x00</t>
        </is>
      </c>
      <c r="O95" s="178" t="inlineStr">
        <is>
          <t>0x00</t>
        </is>
      </c>
      <c r="P95" s="178" t="inlineStr">
        <is>
          <t>0x00</t>
        </is>
      </c>
      <c r="Q95" s="178" t="inlineStr">
        <is>
          <t>0x00</t>
        </is>
      </c>
      <c r="R95" s="178" t="inlineStr">
        <is>
          <t>0x00</t>
        </is>
      </c>
      <c r="S95" s="178" t="inlineStr">
        <is>
          <t>0x00</t>
        </is>
      </c>
      <c r="T95" s="178" t="inlineStr">
        <is>
          <t>0x00</t>
        </is>
      </c>
      <c r="U95" s="178" t="inlineStr">
        <is>
          <t>0x00</t>
        </is>
      </c>
      <c r="V95" s="178" t="inlineStr">
        <is>
          <t>0x00</t>
        </is>
      </c>
      <c r="W95" s="180">
        <f>"0x"&amp;MID(D95,64,2)</f>
        <v/>
      </c>
      <c r="X95" s="180">
        <f>"0x"&amp;MID(D95,67,2)</f>
        <v/>
      </c>
      <c r="Y95" s="182">
        <f>CONCATENATE(RIGHT(G95,2)," ",RIGHT(H95,2)," ",RIGHT(I95,2)," ",RIGHT(J95,2)," ",RIGHT(K95,2)," ",RIGHT(L95,2)," ",RIGHT(M95,2)," ",RIGHT(N95,2)," ",RIGHT(O95,2)," ",RIGHT(P95,2)," ",RIGHT(Q95,2)," ",RIGHT(R95,2)," ",RIGHT(S95,2)," ",RIGHT(T95,2)," ",RIGHT(U95,2)," ",RIGHT(V95,2)," ",RIGHT(W95,2)," ",RIGHT(X95,2))</f>
        <v/>
      </c>
    </row>
    <row r="96">
      <c r="A96" s="222" t="n"/>
      <c r="B96" s="223" t="n"/>
      <c r="C96" s="160" t="inlineStr">
        <is>
          <t>Set -50hz</t>
        </is>
      </c>
      <c r="D96" s="160" t="inlineStr">
        <is>
          <t>55 43 49 12 00 10 10 44 00 32 00 00 00 00 00 00 00 00 00 00 00 80 E4</t>
        </is>
      </c>
      <c r="E96" s="161" t="inlineStr">
        <is>
          <t>mini2 256 can be set, detector output switches to 50hz</t>
        </is>
      </c>
      <c r="F96" s="191" t="n"/>
      <c r="G96" s="192" t="inlineStr">
        <is>
          <t>0x10</t>
        </is>
      </c>
      <c r="H96" s="178" t="inlineStr">
        <is>
          <t>0x10</t>
        </is>
      </c>
      <c r="I96" s="178" t="inlineStr">
        <is>
          <t>0x44</t>
        </is>
      </c>
      <c r="J96" s="178" t="inlineStr">
        <is>
          <t>0x00</t>
        </is>
      </c>
      <c r="K96" s="130" t="inlineStr">
        <is>
          <t>0x32</t>
        </is>
      </c>
      <c r="L96" s="178" t="inlineStr">
        <is>
          <t>0x00</t>
        </is>
      </c>
      <c r="M96" s="178" t="inlineStr">
        <is>
          <t>0x00</t>
        </is>
      </c>
      <c r="N96" s="178" t="inlineStr">
        <is>
          <t>0x00</t>
        </is>
      </c>
      <c r="O96" s="178" t="inlineStr">
        <is>
          <t>0x00</t>
        </is>
      </c>
      <c r="P96" s="178" t="inlineStr">
        <is>
          <t>0x00</t>
        </is>
      </c>
      <c r="Q96" s="178" t="inlineStr">
        <is>
          <t>0x00</t>
        </is>
      </c>
      <c r="R96" s="178" t="inlineStr">
        <is>
          <t>0x00</t>
        </is>
      </c>
      <c r="S96" s="178" t="inlineStr">
        <is>
          <t>0x00</t>
        </is>
      </c>
      <c r="T96" s="178" t="inlineStr">
        <is>
          <t>0x00</t>
        </is>
      </c>
      <c r="U96" s="178" t="inlineStr">
        <is>
          <t>0x00</t>
        </is>
      </c>
      <c r="V96" s="178" t="inlineStr">
        <is>
          <t>0x00</t>
        </is>
      </c>
      <c r="W96" s="180">
        <f>"0x"&amp;MID(D96,64,2)</f>
        <v/>
      </c>
      <c r="X96" s="180">
        <f>"0x"&amp;MID(D96,67,2)</f>
        <v/>
      </c>
      <c r="Y96" s="182">
        <f>CONCATENATE(RIGHT(G96,2)," ",RIGHT(H96,2)," ",RIGHT(I96,2)," ",RIGHT(J96,2)," ",RIGHT(K96,2)," ",RIGHT(L96,2)," ",RIGHT(M96,2)," ",RIGHT(N96,2)," ",RIGHT(O96,2)," ",RIGHT(P96,2)," ",RIGHT(Q96,2)," ",RIGHT(R96,2)," ",RIGHT(S96,2)," ",RIGHT(T96,2)," ",RIGHT(U96,2)," ",RIGHT(V96,2)," ",RIGHT(W96,2)," ",RIGHT(X96,2))</f>
        <v/>
      </c>
    </row>
    <row r="97" ht="28.5" customHeight="1" s="17">
      <c r="A97" s="222" t="n"/>
      <c r="B97" s="225" t="n"/>
      <c r="C97" s="160" t="inlineStr">
        <is>
          <t>Get</t>
        </is>
      </c>
      <c r="D97" s="160" t="inlineStr">
        <is>
          <t>55 43 49 12 00 10 10 84 00 00 00 00 00 00 00 00 00 01 00 00 00 EF B1</t>
        </is>
      </c>
      <c r="E97" s="161" t="inlineStr">
        <is>
          <t>BE AA 02 00 00 1E 52 09 EB AA: 0x1E indicates 30hz
BE AA 02 00 00 3C 72 0D EB AA: 0x3C indicates 60hz</t>
        </is>
      </c>
      <c r="F97" s="191" t="n"/>
      <c r="G97" s="192" t="inlineStr">
        <is>
          <t>0x10</t>
        </is>
      </c>
      <c r="H97" s="178" t="inlineStr">
        <is>
          <t>0x10</t>
        </is>
      </c>
      <c r="I97" s="178" t="inlineStr">
        <is>
          <t>0x84</t>
        </is>
      </c>
      <c r="J97" s="178" t="inlineStr">
        <is>
          <t>0x00</t>
        </is>
      </c>
      <c r="K97" s="178" t="inlineStr">
        <is>
          <t>0x00</t>
        </is>
      </c>
      <c r="L97" s="178" t="inlineStr">
        <is>
          <t>0x00</t>
        </is>
      </c>
      <c r="M97" s="178" t="inlineStr">
        <is>
          <t>0x00</t>
        </is>
      </c>
      <c r="N97" s="178" t="inlineStr">
        <is>
          <t>0x00</t>
        </is>
      </c>
      <c r="O97" s="178" t="inlineStr">
        <is>
          <t>0x00</t>
        </is>
      </c>
      <c r="P97" s="178" t="inlineStr">
        <is>
          <t>0x00</t>
        </is>
      </c>
      <c r="Q97" s="178" t="inlineStr">
        <is>
          <t>0x00</t>
        </is>
      </c>
      <c r="R97" s="178" t="inlineStr">
        <is>
          <t>0x00</t>
        </is>
      </c>
      <c r="S97" s="178" t="inlineStr">
        <is>
          <t>0x01</t>
        </is>
      </c>
      <c r="T97" s="178" t="inlineStr">
        <is>
          <t>0x00</t>
        </is>
      </c>
      <c r="U97" s="178" t="inlineStr">
        <is>
          <t>0x00</t>
        </is>
      </c>
      <c r="V97" s="178" t="inlineStr">
        <is>
          <t>0x00</t>
        </is>
      </c>
      <c r="W97" s="180">
        <f>"0x"&amp;MID(D97,64,2)</f>
        <v/>
      </c>
      <c r="X97" s="180">
        <f>"0x"&amp;MID(D97,67,2)</f>
        <v/>
      </c>
      <c r="Y97" s="182">
        <f>CONCATENATE(RIGHT(G97,2)," ",RIGHT(H97,2)," ",RIGHT(I97,2)," ",RIGHT(J97,2)," ",RIGHT(K97,2)," ",RIGHT(L97,2)," ",RIGHT(M97,2)," ",RIGHT(N97,2)," ",RIGHT(O97,2)," ",RIGHT(P97,2)," ",RIGHT(Q97,2)," ",RIGHT(R97,2)," ",RIGHT(S97,2)," ",RIGHT(T97,2)," ",RIGHT(U97,2)," ",RIGHT(V97,2)," ",RIGHT(W97,2)," ",RIGHT(X97,2))</f>
        <v/>
      </c>
    </row>
    <row r="98">
      <c r="A98" s="222" t="n"/>
      <c r="B98" s="160" t="inlineStr">
        <is>
          <t>Image Data Source</t>
        </is>
      </c>
      <c r="C98" s="160" t="inlineStr">
        <is>
          <t>Set -IR</t>
        </is>
      </c>
      <c r="D98" s="160" t="inlineStr">
        <is>
          <t>55 43 49 12 00 10 10 45 00 00 00 00 00 00 00 00 00 00 00 00 00 FB C0</t>
        </is>
      </c>
      <c r="E98" s="161" t="inlineStr">
        <is>
          <t>Detector Raw Data Output</t>
        </is>
      </c>
      <c r="F98" s="191" t="n"/>
      <c r="G98" s="192" t="inlineStr">
        <is>
          <t>0x10</t>
        </is>
      </c>
      <c r="H98" s="178" t="inlineStr">
        <is>
          <t>0x10</t>
        </is>
      </c>
      <c r="I98" s="178" t="inlineStr">
        <is>
          <t>0x45</t>
        </is>
      </c>
      <c r="J98" s="178" t="inlineStr">
        <is>
          <t>0x00</t>
        </is>
      </c>
      <c r="K98" s="178" t="inlineStr">
        <is>
          <t>0x00</t>
        </is>
      </c>
      <c r="L98" s="178" t="inlineStr">
        <is>
          <t>0x00</t>
        </is>
      </c>
      <c r="M98" s="178" t="inlineStr">
        <is>
          <t>0x00</t>
        </is>
      </c>
      <c r="N98" s="178" t="inlineStr">
        <is>
          <t>0x00</t>
        </is>
      </c>
      <c r="O98" s="178" t="inlineStr">
        <is>
          <t>0x00</t>
        </is>
      </c>
      <c r="P98" s="178" t="inlineStr">
        <is>
          <t>0x00</t>
        </is>
      </c>
      <c r="Q98" s="178" t="inlineStr">
        <is>
          <t>0x00</t>
        </is>
      </c>
      <c r="R98" s="178" t="inlineStr">
        <is>
          <t>0x00</t>
        </is>
      </c>
      <c r="S98" s="178" t="inlineStr">
        <is>
          <t>0x00</t>
        </is>
      </c>
      <c r="T98" s="178" t="inlineStr">
        <is>
          <t>0x00</t>
        </is>
      </c>
      <c r="U98" s="178" t="inlineStr">
        <is>
          <t>0x00</t>
        </is>
      </c>
      <c r="V98" s="178" t="inlineStr">
        <is>
          <t>0x00</t>
        </is>
      </c>
      <c r="W98" s="180">
        <f>"0x"&amp;MID(D98,64,2)</f>
        <v/>
      </c>
      <c r="X98" s="180">
        <f>"0x"&amp;MID(D98,67,2)</f>
        <v/>
      </c>
      <c r="Y98" s="182">
        <f>CONCATENATE(RIGHT(G98,2)," ",RIGHT(H98,2)," ",RIGHT(I98,2)," ",RIGHT(J98,2)," ",RIGHT(K98,2)," ",RIGHT(L98,2)," ",RIGHT(M98,2)," ",RIGHT(N98,2)," ",RIGHT(O98,2)," ",RIGHT(P98,2)," ",RIGHT(Q98,2)," ",RIGHT(R98,2)," ",RIGHT(S98,2)," ",RIGHT(T98,2)," ",RIGHT(U98,2)," ",RIGHT(V98,2)," ",RIGHT(W98,2)," ",RIGHT(X98,2))</f>
        <v/>
      </c>
    </row>
    <row r="99">
      <c r="A99" s="222" t="n"/>
      <c r="B99" s="223" t="n"/>
      <c r="C99" s="160" t="inlineStr">
        <is>
          <t>Set -KBC</t>
        </is>
      </c>
      <c r="D99" s="160" t="inlineStr">
        <is>
          <t>55 43 49 12 00 10 10 45 00 01 00 00 00 00 00 00 00 00 00 00 00 8E C3</t>
        </is>
      </c>
      <c r="E99" s="161" t="inlineStr">
        <is>
          <t>Data Output After KB Correction</t>
        </is>
      </c>
      <c r="F99" s="191" t="n"/>
      <c r="G99" s="192" t="inlineStr">
        <is>
          <t>0x10</t>
        </is>
      </c>
      <c r="H99" s="178" t="inlineStr">
        <is>
          <t>0x10</t>
        </is>
      </c>
      <c r="I99" s="178" t="inlineStr">
        <is>
          <t>0x45</t>
        </is>
      </c>
      <c r="J99" s="178" t="inlineStr">
        <is>
          <t>0x00</t>
        </is>
      </c>
      <c r="K99" s="178" t="inlineStr">
        <is>
          <t>0x01</t>
        </is>
      </c>
      <c r="L99" s="178" t="inlineStr">
        <is>
          <t>0x00</t>
        </is>
      </c>
      <c r="M99" s="178" t="inlineStr">
        <is>
          <t>0x00</t>
        </is>
      </c>
      <c r="N99" s="178" t="inlineStr">
        <is>
          <t>0x00</t>
        </is>
      </c>
      <c r="O99" s="178" t="inlineStr">
        <is>
          <t>0x00</t>
        </is>
      </c>
      <c r="P99" s="178" t="inlineStr">
        <is>
          <t>0x00</t>
        </is>
      </c>
      <c r="Q99" s="178" t="inlineStr">
        <is>
          <t>0x00</t>
        </is>
      </c>
      <c r="R99" s="178" t="inlineStr">
        <is>
          <t>0x00</t>
        </is>
      </c>
      <c r="S99" s="178" t="inlineStr">
        <is>
          <t>0x00</t>
        </is>
      </c>
      <c r="T99" s="178" t="inlineStr">
        <is>
          <t>0x00</t>
        </is>
      </c>
      <c r="U99" s="178" t="inlineStr">
        <is>
          <t>0x00</t>
        </is>
      </c>
      <c r="V99" s="178" t="inlineStr">
        <is>
          <t>0x00</t>
        </is>
      </c>
      <c r="W99" s="180">
        <f>"0x"&amp;MID(D99,64,2)</f>
        <v/>
      </c>
      <c r="X99" s="180">
        <f>"0x"&amp;MID(D99,67,2)</f>
        <v/>
      </c>
      <c r="Y99" s="182">
        <f>CONCATENATE(RIGHT(G99,2)," ",RIGHT(H99,2)," ",RIGHT(I99,2)," ",RIGHT(J99,2)," ",RIGHT(K99,2)," ",RIGHT(L99,2)," ",RIGHT(M99,2)," ",RIGHT(N99,2)," ",RIGHT(O99,2)," ",RIGHT(P99,2)," ",RIGHT(Q99,2)," ",RIGHT(R99,2)," ",RIGHT(S99,2)," ",RIGHT(T99,2)," ",RIGHT(U99,2)," ",RIGHT(V99,2)," ",RIGHT(W99,2)," ",RIGHT(X99,2))</f>
        <v/>
      </c>
    </row>
    <row r="100">
      <c r="A100" s="222" t="n"/>
      <c r="B100" s="223" t="n"/>
      <c r="C100" s="160" t="inlineStr">
        <is>
          <t>Set -TNR</t>
        </is>
      </c>
      <c r="D100" s="160" t="inlineStr">
        <is>
          <t>55 43 49 12 00 10 10 45 00 02 00 00 00 00 00 00 00 00 00 00 00 11 C6</t>
        </is>
      </c>
      <c r="E100" s="161" t="inlineStr">
        <is>
          <t>Data Output After Temporal Noise Reduction</t>
        </is>
      </c>
      <c r="F100" s="191" t="n"/>
      <c r="G100" s="192" t="inlineStr">
        <is>
          <t>0x10</t>
        </is>
      </c>
      <c r="H100" s="178" t="inlineStr">
        <is>
          <t>0x10</t>
        </is>
      </c>
      <c r="I100" s="178" t="inlineStr">
        <is>
          <t>0x45</t>
        </is>
      </c>
      <c r="J100" s="178" t="inlineStr">
        <is>
          <t>0x00</t>
        </is>
      </c>
      <c r="K100" s="178" t="inlineStr">
        <is>
          <t>0x02</t>
        </is>
      </c>
      <c r="L100" s="178" t="inlineStr">
        <is>
          <t>0x00</t>
        </is>
      </c>
      <c r="M100" s="178" t="inlineStr">
        <is>
          <t>0x00</t>
        </is>
      </c>
      <c r="N100" s="178" t="inlineStr">
        <is>
          <t>0x00</t>
        </is>
      </c>
      <c r="O100" s="178" t="inlineStr">
        <is>
          <t>0x00</t>
        </is>
      </c>
      <c r="P100" s="178" t="inlineStr">
        <is>
          <t>0x00</t>
        </is>
      </c>
      <c r="Q100" s="178" t="inlineStr">
        <is>
          <t>0x00</t>
        </is>
      </c>
      <c r="R100" s="178" t="inlineStr">
        <is>
          <t>0x00</t>
        </is>
      </c>
      <c r="S100" s="178" t="inlineStr">
        <is>
          <t>0x00</t>
        </is>
      </c>
      <c r="T100" s="178" t="inlineStr">
        <is>
          <t>0x00</t>
        </is>
      </c>
      <c r="U100" s="178" t="inlineStr">
        <is>
          <t>0x00</t>
        </is>
      </c>
      <c r="V100" s="178" t="inlineStr">
        <is>
          <t>0x00</t>
        </is>
      </c>
      <c r="W100" s="180">
        <f>"0x"&amp;MID(D100,64,2)</f>
        <v/>
      </c>
      <c r="X100" s="180">
        <f>"0x"&amp;MID(D100,67,2)</f>
        <v/>
      </c>
      <c r="Y100" s="182">
        <f>CONCATENATE(RIGHT(G100,2)," ",RIGHT(H100,2)," ",RIGHT(I100,2)," ",RIGHT(J100,2)," ",RIGHT(K100,2)," ",RIGHT(L100,2)," ",RIGHT(M100,2)," ",RIGHT(N100,2)," ",RIGHT(O100,2)," ",RIGHT(P100,2)," ",RIGHT(Q100,2)," ",RIGHT(R100,2)," ",RIGHT(S100,2)," ",RIGHT(T100,2)," ",RIGHT(U100,2)," ",RIGHT(V100,2)," ",RIGHT(W100,2)," ",RIGHT(X100,2))</f>
        <v/>
      </c>
    </row>
    <row r="101">
      <c r="A101" s="222" t="n"/>
      <c r="B101" s="223" t="n"/>
      <c r="C101" s="160" t="inlineStr">
        <is>
          <t>Set -SNR</t>
        </is>
      </c>
      <c r="D101" s="160" t="inlineStr">
        <is>
          <t>55 43 49 12 00 10 10 45 00 03 00 00 00 00 00 00 00 00 00 00 00 64 C5</t>
        </is>
      </c>
      <c r="E101" s="161" t="inlineStr">
        <is>
          <t>Data Output After Spatial Noise Reduction</t>
        </is>
      </c>
      <c r="F101" s="191" t="n"/>
      <c r="G101" s="192" t="inlineStr">
        <is>
          <t>0x10</t>
        </is>
      </c>
      <c r="H101" s="178" t="inlineStr">
        <is>
          <t>0x10</t>
        </is>
      </c>
      <c r="I101" s="178" t="inlineStr">
        <is>
          <t>0x45</t>
        </is>
      </c>
      <c r="J101" s="178" t="inlineStr">
        <is>
          <t>0x00</t>
        </is>
      </c>
      <c r="K101" s="178" t="inlineStr">
        <is>
          <t>0x03</t>
        </is>
      </c>
      <c r="L101" s="178" t="inlineStr">
        <is>
          <t>0x00</t>
        </is>
      </c>
      <c r="M101" s="178" t="inlineStr">
        <is>
          <t>0x00</t>
        </is>
      </c>
      <c r="N101" s="178" t="inlineStr">
        <is>
          <t>0x00</t>
        </is>
      </c>
      <c r="O101" s="178" t="inlineStr">
        <is>
          <t>0x00</t>
        </is>
      </c>
      <c r="P101" s="178" t="inlineStr">
        <is>
          <t>0x00</t>
        </is>
      </c>
      <c r="Q101" s="178" t="inlineStr">
        <is>
          <t>0x00</t>
        </is>
      </c>
      <c r="R101" s="178" t="inlineStr">
        <is>
          <t>0x00</t>
        </is>
      </c>
      <c r="S101" s="178" t="inlineStr">
        <is>
          <t>0x00</t>
        </is>
      </c>
      <c r="T101" s="178" t="inlineStr">
        <is>
          <t>0x00</t>
        </is>
      </c>
      <c r="U101" s="178" t="inlineStr">
        <is>
          <t>0x00</t>
        </is>
      </c>
      <c r="V101" s="178" t="inlineStr">
        <is>
          <t>0x00</t>
        </is>
      </c>
      <c r="W101" s="180">
        <f>"0x"&amp;MID(D101,64,2)</f>
        <v/>
      </c>
      <c r="X101" s="180">
        <f>"0x"&amp;MID(D101,67,2)</f>
        <v/>
      </c>
      <c r="Y101" s="182">
        <f>CONCATENATE(RIGHT(G101,2)," ",RIGHT(H101,2)," ",RIGHT(I101,2)," ",RIGHT(J101,2)," ",RIGHT(K101,2)," ",RIGHT(L101,2)," ",RIGHT(M101,2)," ",RIGHT(N101,2)," ",RIGHT(O101,2)," ",RIGHT(P101,2)," ",RIGHT(Q101,2)," ",RIGHT(R101,2)," ",RIGHT(S101,2)," ",RIGHT(T101,2)," ",RIGHT(U101,2)," ",RIGHT(V101,2)," ",RIGHT(W101,2)," ",RIGHT(X101,2))</f>
        <v/>
      </c>
    </row>
    <row r="102">
      <c r="A102" s="222" t="n"/>
      <c r="B102" s="223" t="n"/>
      <c r="C102" s="160" t="inlineStr">
        <is>
          <t>Settings-DDE</t>
        </is>
      </c>
      <c r="D102" s="160" t="inlineStr">
        <is>
          <t>55 43 49 12 00 10 10 45 00 04 00 00 00 00 00 00 00 00 00 00 00 2F CD</t>
        </is>
      </c>
      <c r="E102" s="161" t="inlineStr">
        <is>
          <t>Data output after image stretching and detail enhancement</t>
        </is>
      </c>
      <c r="F102" s="191" t="n"/>
      <c r="G102" s="192" t="inlineStr">
        <is>
          <t>0x10</t>
        </is>
      </c>
      <c r="H102" s="178" t="inlineStr">
        <is>
          <t>0x10</t>
        </is>
      </c>
      <c r="I102" s="178" t="inlineStr">
        <is>
          <t>0x45</t>
        </is>
      </c>
      <c r="J102" s="178" t="inlineStr">
        <is>
          <t>0x00</t>
        </is>
      </c>
      <c r="K102" s="178" t="inlineStr">
        <is>
          <t>0x04</t>
        </is>
      </c>
      <c r="L102" s="178" t="inlineStr">
        <is>
          <t>0x00</t>
        </is>
      </c>
      <c r="M102" s="178" t="inlineStr">
        <is>
          <t>0x00</t>
        </is>
      </c>
      <c r="N102" s="178" t="inlineStr">
        <is>
          <t>0x00</t>
        </is>
      </c>
      <c r="O102" s="178" t="inlineStr">
        <is>
          <t>0x00</t>
        </is>
      </c>
      <c r="P102" s="178" t="inlineStr">
        <is>
          <t>0x00</t>
        </is>
      </c>
      <c r="Q102" s="178" t="inlineStr">
        <is>
          <t>0x00</t>
        </is>
      </c>
      <c r="R102" s="178" t="inlineStr">
        <is>
          <t>0x00</t>
        </is>
      </c>
      <c r="S102" s="178" t="inlineStr">
        <is>
          <t>0x00</t>
        </is>
      </c>
      <c r="T102" s="178" t="inlineStr">
        <is>
          <t>0x00</t>
        </is>
      </c>
      <c r="U102" s="178" t="inlineStr">
        <is>
          <t>0x00</t>
        </is>
      </c>
      <c r="V102" s="178" t="inlineStr">
        <is>
          <t>0x00</t>
        </is>
      </c>
      <c r="W102" s="180">
        <f>"0x"&amp;MID(D102,64,2)</f>
        <v/>
      </c>
      <c r="X102" s="180">
        <f>"0x"&amp;MID(D102,67,2)</f>
        <v/>
      </c>
      <c r="Y102" s="182">
        <f>CONCATENATE(RIGHT(G102,2)," ",RIGHT(H102,2)," ",RIGHT(I102,2)," ",RIGHT(J102,2)," ",RIGHT(K102,2)," ",RIGHT(L102,2)," ",RIGHT(M102,2)," ",RIGHT(N102,2)," ",RIGHT(O102,2)," ",RIGHT(P102,2)," ",RIGHT(Q102,2)," ",RIGHT(R102,2)," ",RIGHT(S102,2)," ",RIGHT(T102,2)," ",RIGHT(U102,2)," ",RIGHT(V102,2)," ",RIGHT(W102,2)," ",RIGHT(X102,2))</f>
        <v/>
      </c>
    </row>
    <row r="103">
      <c r="A103" s="222" t="n"/>
      <c r="B103" s="223" t="n"/>
      <c r="C103" s="160" t="inlineStr">
        <is>
          <t>Settings-YUV</t>
        </is>
      </c>
      <c r="D103" s="160" t="inlineStr">
        <is>
          <t>55 43 49 12 00 10 10 45 00 05 00 00 00 00 00 00 00 00 00 00 00 5A CE</t>
        </is>
      </c>
      <c r="E103" s="161" t="inlineStr">
        <is>
          <t>Default final output</t>
        </is>
      </c>
      <c r="F103" s="191" t="n"/>
      <c r="G103" s="192" t="inlineStr">
        <is>
          <t>0x10</t>
        </is>
      </c>
      <c r="H103" s="178" t="inlineStr">
        <is>
          <t>0x10</t>
        </is>
      </c>
      <c r="I103" s="178" t="inlineStr">
        <is>
          <t>0x45</t>
        </is>
      </c>
      <c r="J103" s="178" t="inlineStr">
        <is>
          <t>0x00</t>
        </is>
      </c>
      <c r="K103" s="178" t="inlineStr">
        <is>
          <t>0x05</t>
        </is>
      </c>
      <c r="L103" s="178" t="inlineStr">
        <is>
          <t>0x00</t>
        </is>
      </c>
      <c r="M103" s="178" t="inlineStr">
        <is>
          <t>0x00</t>
        </is>
      </c>
      <c r="N103" s="178" t="inlineStr">
        <is>
          <t>0x00</t>
        </is>
      </c>
      <c r="O103" s="178" t="inlineStr">
        <is>
          <t>0x00</t>
        </is>
      </c>
      <c r="P103" s="178" t="inlineStr">
        <is>
          <t>0x00</t>
        </is>
      </c>
      <c r="Q103" s="178" t="inlineStr">
        <is>
          <t>0x00</t>
        </is>
      </c>
      <c r="R103" s="178" t="inlineStr">
        <is>
          <t>0x00</t>
        </is>
      </c>
      <c r="S103" s="178" t="inlineStr">
        <is>
          <t>0x00</t>
        </is>
      </c>
      <c r="T103" s="178" t="inlineStr">
        <is>
          <t>0x00</t>
        </is>
      </c>
      <c r="U103" s="178" t="inlineStr">
        <is>
          <t>0x00</t>
        </is>
      </c>
      <c r="V103" s="178" t="inlineStr">
        <is>
          <t>0x00</t>
        </is>
      </c>
      <c r="W103" s="180">
        <f>"0x"&amp;MID(D103,64,2)</f>
        <v/>
      </c>
      <c r="X103" s="180">
        <f>"0x"&amp;MID(D103,67,2)</f>
        <v/>
      </c>
      <c r="Y103" s="182">
        <f>CONCATENATE(RIGHT(G103,2)," ",RIGHT(H103,2)," ",RIGHT(I103,2)," ",RIGHT(J103,2)," ",RIGHT(K103,2)," ",RIGHT(L103,2)," ",RIGHT(M103,2)," ",RIGHT(N103,2)," ",RIGHT(O103,2)," ",RIGHT(P103,2)," ",RIGHT(Q103,2)," ",RIGHT(R103,2)," ",RIGHT(S103,2)," ",RIGHT(T103,2)," ",RIGHT(U103,2)," ",RIGHT(V103,2)," ",RIGHT(W103,2)," ",RIGHT(X103,2))</f>
        <v/>
      </c>
    </row>
    <row r="104" ht="85.5" customHeight="1" s="17">
      <c r="A104" s="222" t="n"/>
      <c r="B104" s="225" t="n"/>
      <c r="C104" s="160" t="inlineStr">
        <is>
          <t>Get</t>
        </is>
      </c>
      <c r="D104" s="160" t="inlineStr">
        <is>
          <t>55 43 49 12 00 10 10 85 00 00 00 00 00 00 00 00 00 01 00 00 00 8E CA</t>
        </is>
      </c>
      <c r="E104" s="161" t="inlineStr">
        <is>
          <t>BE AA 02 00 00 00 AD FA EB AA: Indicates IR image output
BE AA 00 00 01 8C EA EB AA: Indicates KBC image output
BE AA 02 00 00 02 EF DA EB AA: Indicates TNR image output
BE AA 02 00 00 03 CE CA EB AA: Indicates SNR image output
BE AA 02 00 00 04 29 BA EB AA: Indicates DDE image output
BE AA 02 00 00 05 08 AA EB AA: Indicates YUV image output</t>
        </is>
      </c>
      <c r="F104" s="191" t="n"/>
      <c r="G104" s="192" t="inlineStr">
        <is>
          <t>0x10</t>
        </is>
      </c>
      <c r="H104" s="178" t="inlineStr">
        <is>
          <t>0x10</t>
        </is>
      </c>
      <c r="I104" s="178" t="inlineStr">
        <is>
          <t>0x85</t>
        </is>
      </c>
      <c r="J104" s="178" t="inlineStr">
        <is>
          <t>0x00</t>
        </is>
      </c>
      <c r="K104" s="178" t="inlineStr">
        <is>
          <t>0x00</t>
        </is>
      </c>
      <c r="L104" s="178" t="inlineStr">
        <is>
          <t>0x00</t>
        </is>
      </c>
      <c r="M104" s="178" t="inlineStr">
        <is>
          <t>0x00</t>
        </is>
      </c>
      <c r="N104" s="178" t="inlineStr">
        <is>
          <t>0x00</t>
        </is>
      </c>
      <c r="O104" s="178" t="inlineStr">
        <is>
          <t>0x00</t>
        </is>
      </c>
      <c r="P104" s="178" t="inlineStr">
        <is>
          <t>0x00</t>
        </is>
      </c>
      <c r="Q104" s="178" t="inlineStr">
        <is>
          <t>0x00</t>
        </is>
      </c>
      <c r="R104" s="178" t="inlineStr">
        <is>
          <t>0x00</t>
        </is>
      </c>
      <c r="S104" s="178" t="inlineStr">
        <is>
          <t>0x01</t>
        </is>
      </c>
      <c r="T104" s="178" t="inlineStr">
        <is>
          <t>0x00</t>
        </is>
      </c>
      <c r="U104" s="178" t="inlineStr">
        <is>
          <t>0x00</t>
        </is>
      </c>
      <c r="V104" s="178" t="inlineStr">
        <is>
          <t>0x00</t>
        </is>
      </c>
      <c r="W104" s="180">
        <f>"0x"&amp;MID(D104,64,2)</f>
        <v/>
      </c>
      <c r="X104" s="180">
        <f>"0x"&amp;MID(D104,67,2)</f>
        <v/>
      </c>
      <c r="Y104" s="182">
        <f>CONCATENATE(RIGHT(G104,2)," ",RIGHT(H104,2)," ",RIGHT(I104,2)," ",RIGHT(J104,2)," ",RIGHT(K104,2)," ",RIGHT(L104,2)," ",RIGHT(M104,2)," ",RIGHT(N104,2)," ",RIGHT(O104,2)," ",RIGHT(P104,2)," ",RIGHT(Q104,2)," ",RIGHT(R104,2)," ",RIGHT(S104,2)," ",RIGHT(T104,2)," ",RIGHT(U104,2)," ",RIGHT(V104,2)," ",RIGHT(W104,2)," ",RIGHT(X104,2))</f>
        <v/>
      </c>
    </row>
    <row r="105">
      <c r="A105" s="222" t="n"/>
      <c r="B105" s="160" t="inlineStr">
        <is>
          <t>YUV format</t>
        </is>
      </c>
      <c r="C105" s="160" t="inlineStr">
        <is>
          <t>Settings-uyvy</t>
        </is>
      </c>
      <c r="D105" s="160" t="inlineStr">
        <is>
          <t>55 43 49 12 00 10 03 4D 00 00 00 00 00 00 00 00 00 00 00 00 00 3F 86</t>
        </is>
      </c>
      <c r="E105" s="161" t="n"/>
      <c r="F105" s="191" t="n"/>
      <c r="G105" s="192" t="inlineStr">
        <is>
          <t>0x10</t>
        </is>
      </c>
      <c r="H105" s="178" t="inlineStr">
        <is>
          <t>0x03</t>
        </is>
      </c>
      <c r="I105" s="178" t="inlineStr">
        <is>
          <t>0x4D</t>
        </is>
      </c>
      <c r="J105" s="178" t="inlineStr">
        <is>
          <t>0x00</t>
        </is>
      </c>
      <c r="K105" s="178" t="inlineStr">
        <is>
          <t>0x00</t>
        </is>
      </c>
      <c r="L105" s="178" t="inlineStr">
        <is>
          <t>0x00</t>
        </is>
      </c>
      <c r="M105" s="178" t="inlineStr">
        <is>
          <t>0x00</t>
        </is>
      </c>
      <c r="N105" s="178" t="inlineStr">
        <is>
          <t>0x00</t>
        </is>
      </c>
      <c r="O105" s="178" t="inlineStr">
        <is>
          <t>0x00</t>
        </is>
      </c>
      <c r="P105" s="178" t="inlineStr">
        <is>
          <t>0x00</t>
        </is>
      </c>
      <c r="Q105" s="178" t="inlineStr">
        <is>
          <t>0x00</t>
        </is>
      </c>
      <c r="R105" s="178" t="inlineStr">
        <is>
          <t>0x00</t>
        </is>
      </c>
      <c r="S105" s="178" t="inlineStr">
        <is>
          <t>0x00</t>
        </is>
      </c>
      <c r="T105" s="178" t="inlineStr">
        <is>
          <t>0x00</t>
        </is>
      </c>
      <c r="U105" s="178" t="inlineStr">
        <is>
          <t>0x00</t>
        </is>
      </c>
      <c r="V105" s="178" t="inlineStr">
        <is>
          <t>0x00</t>
        </is>
      </c>
      <c r="W105" s="180">
        <f>"0x"&amp;MID(D105,64,2)</f>
        <v/>
      </c>
      <c r="X105" s="180">
        <f>"0x"&amp;MID(D105,67,2)</f>
        <v/>
      </c>
      <c r="Y105" s="182">
        <f>CONCATENATE(RIGHT(G105,2)," ",RIGHT(H105,2)," ",RIGHT(I105,2)," ",RIGHT(J105,2)," ",RIGHT(K105,2)," ",RIGHT(L105,2)," ",RIGHT(M105,2)," ",RIGHT(N105,2)," ",RIGHT(O105,2)," ",RIGHT(P105,2)," ",RIGHT(Q105,2)," ",RIGHT(R105,2)," ",RIGHT(S105,2)," ",RIGHT(T105,2)," ",RIGHT(U105,2)," ",RIGHT(V105,2)," ",RIGHT(W105,2)," ",RIGHT(X105,2))</f>
        <v/>
      </c>
    </row>
    <row r="106">
      <c r="A106" s="222" t="n"/>
      <c r="B106" s="223" t="n"/>
      <c r="C106" s="160" t="inlineStr">
        <is>
          <t>Settings-vyuy</t>
        </is>
      </c>
      <c r="D106" s="160" t="inlineStr">
        <is>
          <t>55 43 49 12 00 10 03 4D 01 00 00 00 00 00 00 00 00 00 00 00 00 5C C3</t>
        </is>
      </c>
      <c r="E106" s="161" t="n"/>
      <c r="F106" s="191" t="n"/>
      <c r="G106" s="192" t="inlineStr">
        <is>
          <t>0x10</t>
        </is>
      </c>
      <c r="H106" s="178" t="inlineStr">
        <is>
          <t>0x03</t>
        </is>
      </c>
      <c r="I106" s="178" t="inlineStr">
        <is>
          <t>0x4D</t>
        </is>
      </c>
      <c r="J106" s="178" t="inlineStr">
        <is>
          <t>0x01</t>
        </is>
      </c>
      <c r="K106" s="178" t="inlineStr">
        <is>
          <t>0x00</t>
        </is>
      </c>
      <c r="L106" s="178" t="inlineStr">
        <is>
          <t>0x00</t>
        </is>
      </c>
      <c r="M106" s="178" t="inlineStr">
        <is>
          <t>0x00</t>
        </is>
      </c>
      <c r="N106" s="178" t="inlineStr">
        <is>
          <t>0x00</t>
        </is>
      </c>
      <c r="O106" s="178" t="inlineStr">
        <is>
          <t>0x00</t>
        </is>
      </c>
      <c r="P106" s="178" t="inlineStr">
        <is>
          <t>0x00</t>
        </is>
      </c>
      <c r="Q106" s="178" t="inlineStr">
        <is>
          <t>0x00</t>
        </is>
      </c>
      <c r="R106" s="178" t="inlineStr">
        <is>
          <t>0x00</t>
        </is>
      </c>
      <c r="S106" s="178" t="inlineStr">
        <is>
          <t>0x00</t>
        </is>
      </c>
      <c r="T106" s="178" t="inlineStr">
        <is>
          <t>0x00</t>
        </is>
      </c>
      <c r="U106" s="178" t="inlineStr">
        <is>
          <t>0x00</t>
        </is>
      </c>
      <c r="V106" s="178" t="inlineStr">
        <is>
          <t>0x00</t>
        </is>
      </c>
      <c r="W106" s="180">
        <f>"0x"&amp;MID(D106,64,2)</f>
        <v/>
      </c>
      <c r="X106" s="180">
        <f>"0x"&amp;MID(D106,67,2)</f>
        <v/>
      </c>
      <c r="Y106" s="182">
        <f>CONCATENATE(RIGHT(G106,2)," ",RIGHT(H106,2)," ",RIGHT(I106,2)," ",RIGHT(J106,2)," ",RIGHT(K106,2)," ",RIGHT(L106,2)," ",RIGHT(M106,2)," ",RIGHT(N106,2)," ",RIGHT(O106,2)," ",RIGHT(P106,2)," ",RIGHT(Q106,2)," ",RIGHT(R106,2)," ",RIGHT(S106,2)," ",RIGHT(T106,2)," ",RIGHT(U106,2)," ",RIGHT(V106,2)," ",RIGHT(W106,2)," ",RIGHT(X106,2))</f>
        <v/>
      </c>
    </row>
    <row r="107">
      <c r="A107" s="222" t="n"/>
      <c r="B107" s="223" t="n"/>
      <c r="C107" s="160" t="inlineStr">
        <is>
          <t>Settings-yuyv</t>
        </is>
      </c>
      <c r="D107" s="160" t="inlineStr">
        <is>
          <t>55 43 49 12 00 10 03 4D 02 00 00 00 00 00 00 00 00 00 00 00 00 F9 0C</t>
        </is>
      </c>
      <c r="E107" s="161" t="n"/>
      <c r="F107" s="191" t="n"/>
      <c r="G107" s="192" t="inlineStr">
        <is>
          <t>0x10</t>
        </is>
      </c>
      <c r="H107" s="178" t="inlineStr">
        <is>
          <t>0x03</t>
        </is>
      </c>
      <c r="I107" s="178" t="inlineStr">
        <is>
          <t>0x4D</t>
        </is>
      </c>
      <c r="J107" s="178" t="inlineStr">
        <is>
          <t>0x02</t>
        </is>
      </c>
      <c r="K107" s="178" t="inlineStr">
        <is>
          <t>0x00</t>
        </is>
      </c>
      <c r="L107" s="178" t="inlineStr">
        <is>
          <t>0x00</t>
        </is>
      </c>
      <c r="M107" s="178" t="inlineStr">
        <is>
          <t>0x00</t>
        </is>
      </c>
      <c r="N107" s="178" t="inlineStr">
        <is>
          <t>0x00</t>
        </is>
      </c>
      <c r="O107" s="178" t="inlineStr">
        <is>
          <t>0x00</t>
        </is>
      </c>
      <c r="P107" s="178" t="inlineStr">
        <is>
          <t>0x00</t>
        </is>
      </c>
      <c r="Q107" s="178" t="inlineStr">
        <is>
          <t>0x00</t>
        </is>
      </c>
      <c r="R107" s="178" t="inlineStr">
        <is>
          <t>0x00</t>
        </is>
      </c>
      <c r="S107" s="178" t="inlineStr">
        <is>
          <t>0x00</t>
        </is>
      </c>
      <c r="T107" s="178" t="inlineStr">
        <is>
          <t>0x00</t>
        </is>
      </c>
      <c r="U107" s="178" t="inlineStr">
        <is>
          <t>0x00</t>
        </is>
      </c>
      <c r="V107" s="178" t="inlineStr">
        <is>
          <t>0x00</t>
        </is>
      </c>
      <c r="W107" s="180">
        <f>"0x"&amp;MID(D107,64,2)</f>
        <v/>
      </c>
      <c r="X107" s="180">
        <f>"0x"&amp;MID(D107,67,2)</f>
        <v/>
      </c>
      <c r="Y107" s="182">
        <f>CONCATENATE(RIGHT(G107,2)," ",RIGHT(H107,2)," ",RIGHT(I107,2)," ",RIGHT(J107,2)," ",RIGHT(K107,2)," ",RIGHT(L107,2)," ",RIGHT(M107,2)," ",RIGHT(N107,2)," ",RIGHT(O107,2)," ",RIGHT(P107,2)," ",RIGHT(Q107,2)," ",RIGHT(R107,2)," ",RIGHT(S107,2)," ",RIGHT(T107,2)," ",RIGHT(U107,2)," ",RIGHT(V107,2)," ",RIGHT(W107,2)," ",RIGHT(X107,2))</f>
        <v/>
      </c>
    </row>
    <row r="108">
      <c r="A108" s="222" t="n"/>
      <c r="B108" s="223" t="n"/>
      <c r="C108" s="160" t="inlineStr">
        <is>
          <t>Settings-yvyu</t>
        </is>
      </c>
      <c r="D108" s="160" t="inlineStr">
        <is>
          <t>55 43 49 12 00 10 03 4D 03 00 00 00 00 00 00 00 00 00 00 00 00 9A 49</t>
        </is>
      </c>
      <c r="E108" s="161" t="n"/>
      <c r="F108" s="191" t="n"/>
      <c r="G108" s="192" t="inlineStr">
        <is>
          <t>0x10</t>
        </is>
      </c>
      <c r="H108" s="178" t="inlineStr">
        <is>
          <t>0x03</t>
        </is>
      </c>
      <c r="I108" s="178" t="inlineStr">
        <is>
          <t>0x4D</t>
        </is>
      </c>
      <c r="J108" s="178" t="inlineStr">
        <is>
          <t>0x03</t>
        </is>
      </c>
      <c r="K108" s="178" t="inlineStr">
        <is>
          <t>0x00</t>
        </is>
      </c>
      <c r="L108" s="178" t="inlineStr">
        <is>
          <t>0x00</t>
        </is>
      </c>
      <c r="M108" s="178" t="inlineStr">
        <is>
          <t>0x00</t>
        </is>
      </c>
      <c r="N108" s="178" t="inlineStr">
        <is>
          <t>0x00</t>
        </is>
      </c>
      <c r="O108" s="178" t="inlineStr">
        <is>
          <t>0x00</t>
        </is>
      </c>
      <c r="P108" s="178" t="inlineStr">
        <is>
          <t>0x00</t>
        </is>
      </c>
      <c r="Q108" s="178" t="inlineStr">
        <is>
          <t>0x00</t>
        </is>
      </c>
      <c r="R108" s="178" t="inlineStr">
        <is>
          <t>0x00</t>
        </is>
      </c>
      <c r="S108" s="178" t="inlineStr">
        <is>
          <t>0x00</t>
        </is>
      </c>
      <c r="T108" s="178" t="inlineStr">
        <is>
          <t>0x00</t>
        </is>
      </c>
      <c r="U108" s="178" t="inlineStr">
        <is>
          <t>0x00</t>
        </is>
      </c>
      <c r="V108" s="178" t="inlineStr">
        <is>
          <t>0x00</t>
        </is>
      </c>
      <c r="W108" s="180">
        <f>"0x"&amp;MID(D108,64,2)</f>
        <v/>
      </c>
      <c r="X108" s="180">
        <f>"0x"&amp;MID(D108,67,2)</f>
        <v/>
      </c>
      <c r="Y108" s="182">
        <f>CONCATENATE(RIGHT(G108,2)," ",RIGHT(H108,2)," ",RIGHT(I108,2)," ",RIGHT(J108,2)," ",RIGHT(K108,2)," ",RIGHT(L108,2)," ",RIGHT(M108,2)," ",RIGHT(N108,2)," ",RIGHT(O108,2)," ",RIGHT(P108,2)," ",RIGHT(Q108,2)," ",RIGHT(R108,2)," ",RIGHT(S108,2)," ",RIGHT(T108,2)," ",RIGHT(U108,2)," ",RIGHT(V108,2)," ",RIGHT(W108,2)," ",RIGHT(X108,2))</f>
        <v/>
      </c>
    </row>
    <row r="109">
      <c r="A109" s="222" t="n"/>
      <c r="B109" s="225" t="n"/>
      <c r="C109" s="160" t="inlineStr">
        <is>
          <t>Get</t>
        </is>
      </c>
      <c r="D109" s="160" t="inlineStr">
        <is>
          <t>55 43 49 12 00 10 03 8C 00 00 00 00 00 00 00 00 00 01 00 00 00 2B F7</t>
        </is>
      </c>
      <c r="E109" s="161" t="n"/>
      <c r="F109" s="191" t="n"/>
      <c r="G109" s="192" t="inlineStr">
        <is>
          <t>0x10</t>
        </is>
      </c>
      <c r="H109" s="178" t="inlineStr">
        <is>
          <t>0x03</t>
        </is>
      </c>
      <c r="I109" s="178" t="inlineStr">
        <is>
          <t>0x8C</t>
        </is>
      </c>
      <c r="J109" s="178" t="inlineStr">
        <is>
          <t>0x00</t>
        </is>
      </c>
      <c r="K109" s="178" t="inlineStr">
        <is>
          <t>0x00</t>
        </is>
      </c>
      <c r="L109" s="178" t="inlineStr">
        <is>
          <t>0x00</t>
        </is>
      </c>
      <c r="M109" s="178" t="inlineStr">
        <is>
          <t>0x00</t>
        </is>
      </c>
      <c r="N109" s="178" t="inlineStr">
        <is>
          <t>0x00</t>
        </is>
      </c>
      <c r="O109" s="178" t="inlineStr">
        <is>
          <t>0x00</t>
        </is>
      </c>
      <c r="P109" s="178" t="inlineStr">
        <is>
          <t>0x00</t>
        </is>
      </c>
      <c r="Q109" s="178" t="inlineStr">
        <is>
          <t>0x00</t>
        </is>
      </c>
      <c r="R109" s="178" t="inlineStr">
        <is>
          <t>0x00</t>
        </is>
      </c>
      <c r="S109" s="178" t="inlineStr">
        <is>
          <t>0x01</t>
        </is>
      </c>
      <c r="T109" s="178" t="inlineStr">
        <is>
          <t>0x00</t>
        </is>
      </c>
      <c r="U109" s="178" t="inlineStr">
        <is>
          <t>0x00</t>
        </is>
      </c>
      <c r="V109" s="178" t="inlineStr">
        <is>
          <t>0x00</t>
        </is>
      </c>
      <c r="W109" s="180">
        <f>"0x"&amp;MID(D109,64,2)</f>
        <v/>
      </c>
      <c r="X109" s="180">
        <f>"0x"&amp;MID(D109,67,2)</f>
        <v/>
      </c>
      <c r="Y109" s="182">
        <f>CONCATENATE(RIGHT(G109,2)," ",RIGHT(H109,2)," ",RIGHT(I109,2)," ",RIGHT(J109,2)," ",RIGHT(K109,2)," ",RIGHT(L109,2)," ",RIGHT(M109,2)," ",RIGHT(N109,2)," ",RIGHT(O109,2)," ",RIGHT(P109,2)," ",RIGHT(Q109,2)," ",RIGHT(R109,2)," ",RIGHT(S109,2)," ",RIGHT(T109,2)," ",RIGHT(U109,2)," ",RIGHT(V109,2)," ",RIGHT(W109,2)," ",RIGHT(X109,2))</f>
        <v/>
      </c>
    </row>
    <row r="110">
      <c r="A110" s="222" t="n"/>
      <c r="B110" s="160" t="inlineStr">
        <is>
          <t>Freeze frame</t>
        </is>
      </c>
      <c r="C110" s="184" t="inlineStr">
        <is>
          <t>Settings-disable</t>
        </is>
      </c>
      <c r="D110" s="184" t="inlineStr">
        <is>
          <t>55 43 49 12 00 10 10 42 00 00 00 00 00 00 00 00 00 00 00 00 00 FD B0</t>
        </is>
      </c>
      <c r="E110" s="161" t="inlineStr">
        <is>
          <t>Note: In freeze frame state, electronic zoom, mirror inversion, and scene switching commands are not responsive</t>
        </is>
      </c>
      <c r="F110" s="191" t="n"/>
      <c r="G110" s="192" t="inlineStr">
        <is>
          <t>0x10</t>
        </is>
      </c>
      <c r="H110" s="178" t="inlineStr">
        <is>
          <t>0x10</t>
        </is>
      </c>
      <c r="I110" s="178" t="inlineStr">
        <is>
          <t>0x42</t>
        </is>
      </c>
      <c r="J110" s="178" t="inlineStr">
        <is>
          <t>0x00</t>
        </is>
      </c>
      <c r="K110" s="178" t="inlineStr">
        <is>
          <t>0x00</t>
        </is>
      </c>
      <c r="L110" s="178" t="inlineStr">
        <is>
          <t>0x00</t>
        </is>
      </c>
      <c r="M110" s="178" t="inlineStr">
        <is>
          <t>0x00</t>
        </is>
      </c>
      <c r="N110" s="178" t="inlineStr">
        <is>
          <t>0x00</t>
        </is>
      </c>
      <c r="O110" s="178" t="inlineStr">
        <is>
          <t>0x00</t>
        </is>
      </c>
      <c r="P110" s="178" t="inlineStr">
        <is>
          <t>0x00</t>
        </is>
      </c>
      <c r="Q110" s="178" t="inlineStr">
        <is>
          <t>0x00</t>
        </is>
      </c>
      <c r="R110" s="178" t="inlineStr">
        <is>
          <t>0x00</t>
        </is>
      </c>
      <c r="S110" s="178" t="inlineStr">
        <is>
          <t>0x00</t>
        </is>
      </c>
      <c r="T110" s="178" t="inlineStr">
        <is>
          <t>0x00</t>
        </is>
      </c>
      <c r="U110" s="178" t="inlineStr">
        <is>
          <t>0x00</t>
        </is>
      </c>
      <c r="V110" s="178" t="inlineStr">
        <is>
          <t>0x00</t>
        </is>
      </c>
      <c r="W110" s="180">
        <f>"0x"&amp;MID(D110,64,2)</f>
        <v/>
      </c>
      <c r="X110" s="180">
        <f>"0x"&amp;MID(D110,67,2)</f>
        <v/>
      </c>
      <c r="Y110" s="182">
        <f>CONCATENATE(RIGHT(G110,2)," ",RIGHT(H110,2)," ",RIGHT(I110,2)," ",RIGHT(J110,2)," ",RIGHT(K110,2)," ",RIGHT(L110,2)," ",RIGHT(M110,2)," ",RIGHT(N110,2)," ",RIGHT(O110,2)," ",RIGHT(P110,2)," ",RIGHT(Q110,2)," ",RIGHT(R110,2)," ",RIGHT(S110,2)," ",RIGHT(T110,2)," ",RIGHT(U110,2)," ",RIGHT(V110,2)," ",RIGHT(W110,2)," ",RIGHT(X110,2))</f>
        <v/>
      </c>
    </row>
    <row r="111">
      <c r="A111" s="222" t="n"/>
      <c r="B111" s="223" t="n"/>
      <c r="C111" s="184" t="inlineStr">
        <is>
          <t>Settings-enable</t>
        </is>
      </c>
      <c r="D111" s="184" t="inlineStr">
        <is>
          <t>55 43 49 12 00 10 10 42 00 01 00 00 00 00 00 00 00 00 00 00 00 88 B3</t>
        </is>
      </c>
      <c r="E111" s="161" t="n"/>
      <c r="F111" s="191" t="n"/>
      <c r="G111" s="192" t="inlineStr">
        <is>
          <t>0x10</t>
        </is>
      </c>
      <c r="H111" s="178" t="inlineStr">
        <is>
          <t>0x10</t>
        </is>
      </c>
      <c r="I111" s="178" t="inlineStr">
        <is>
          <t>0x42</t>
        </is>
      </c>
      <c r="J111" s="178" t="inlineStr">
        <is>
          <t>0x00</t>
        </is>
      </c>
      <c r="K111" s="178" t="inlineStr">
        <is>
          <t>0x01</t>
        </is>
      </c>
      <c r="L111" s="178" t="inlineStr">
        <is>
          <t>0x00</t>
        </is>
      </c>
      <c r="M111" s="178" t="inlineStr">
        <is>
          <t>0x00</t>
        </is>
      </c>
      <c r="N111" s="178" t="inlineStr">
        <is>
          <t>0x00</t>
        </is>
      </c>
      <c r="O111" s="178" t="inlineStr">
        <is>
          <t>0x00</t>
        </is>
      </c>
      <c r="P111" s="178" t="inlineStr">
        <is>
          <t>0x00</t>
        </is>
      </c>
      <c r="Q111" s="178" t="inlineStr">
        <is>
          <t>0x00</t>
        </is>
      </c>
      <c r="R111" s="178" t="inlineStr">
        <is>
          <t>0x00</t>
        </is>
      </c>
      <c r="S111" s="178" t="inlineStr">
        <is>
          <t>0x00</t>
        </is>
      </c>
      <c r="T111" s="178" t="inlineStr">
        <is>
          <t>0x00</t>
        </is>
      </c>
      <c r="U111" s="178" t="inlineStr">
        <is>
          <t>0x00</t>
        </is>
      </c>
      <c r="V111" s="178" t="inlineStr">
        <is>
          <t>0x00</t>
        </is>
      </c>
      <c r="W111" s="180">
        <f>"0x"&amp;MID(D111,64,2)</f>
        <v/>
      </c>
      <c r="X111" s="180">
        <f>"0x"&amp;MID(D111,67,2)</f>
        <v/>
      </c>
      <c r="Y111" s="182">
        <f>CONCATENATE(RIGHT(G111,2)," ",RIGHT(H111,2)," ",RIGHT(I111,2)," ",RIGHT(J111,2)," ",RIGHT(K111,2)," ",RIGHT(L111,2)," ",RIGHT(M111,2)," ",RIGHT(N111,2)," ",RIGHT(O111,2)," ",RIGHT(P111,2)," ",RIGHT(Q111,2)," ",RIGHT(R111,2)," ",RIGHT(S111,2)," ",RIGHT(T111,2)," ",RIGHT(U111,2)," ",RIGHT(V111,2)," ",RIGHT(W111,2)," ",RIGHT(X111,2))</f>
        <v/>
      </c>
    </row>
    <row r="112" ht="28.5" customHeight="1" s="17">
      <c r="A112" s="222" t="n"/>
      <c r="B112" s="225" t="n"/>
      <c r="C112" s="160" t="inlineStr">
        <is>
          <t>Get</t>
        </is>
      </c>
      <c r="D112" s="160" t="inlineStr">
        <is>
          <t>55 43 49 12 00 10 10 82 00 00 00 00 00 00 00 00 00 01 00 00 00 88 BA</t>
        </is>
      </c>
      <c r="E112" s="161" t="inlineStr">
        <is>
          <t>BE AA 02 00 00 00 AD FA EB AA: Indicates non-freeze state
BE AA 02 00 00 01 8C EA EB AA: Indicates freeze state</t>
        </is>
      </c>
      <c r="F112" s="191" t="n"/>
      <c r="G112" s="192" t="inlineStr">
        <is>
          <t>0x10</t>
        </is>
      </c>
      <c r="H112" s="178" t="inlineStr">
        <is>
          <t>0x10</t>
        </is>
      </c>
      <c r="I112" s="178" t="inlineStr">
        <is>
          <t>0x82</t>
        </is>
      </c>
      <c r="J112" s="178" t="inlineStr">
        <is>
          <t>0x00</t>
        </is>
      </c>
      <c r="K112" s="178" t="inlineStr">
        <is>
          <t>0x00</t>
        </is>
      </c>
      <c r="L112" s="178" t="inlineStr">
        <is>
          <t>0x00</t>
        </is>
      </c>
      <c r="M112" s="178" t="inlineStr">
        <is>
          <t>0x00</t>
        </is>
      </c>
      <c r="N112" s="178" t="inlineStr">
        <is>
          <t>0x00</t>
        </is>
      </c>
      <c r="O112" s="178" t="inlineStr">
        <is>
          <t>0x00</t>
        </is>
      </c>
      <c r="P112" s="178" t="inlineStr">
        <is>
          <t>0x00</t>
        </is>
      </c>
      <c r="Q112" s="178" t="inlineStr">
        <is>
          <t>0x00</t>
        </is>
      </c>
      <c r="R112" s="178" t="inlineStr">
        <is>
          <t>0x00</t>
        </is>
      </c>
      <c r="S112" s="178" t="inlineStr">
        <is>
          <t>0x01</t>
        </is>
      </c>
      <c r="T112" s="178" t="inlineStr">
        <is>
          <t>0x00</t>
        </is>
      </c>
      <c r="U112" s="178" t="inlineStr">
        <is>
          <t>0x00</t>
        </is>
      </c>
      <c r="V112" s="178" t="inlineStr">
        <is>
          <t>0x00</t>
        </is>
      </c>
      <c r="W112" s="180">
        <f>"0x"&amp;MID(D112,64,2)</f>
        <v/>
      </c>
      <c r="X112" s="180">
        <f>"0x"&amp;MID(D112,67,2)</f>
        <v/>
      </c>
      <c r="Y112" s="182">
        <f>CONCATENATE(RIGHT(G112,2)," ",RIGHT(H112,2)," ",RIGHT(I112,2)," ",RIGHT(J112,2)," ",RIGHT(K112,2)," ",RIGHT(L112,2)," ",RIGHT(M112,2)," ",RIGHT(N112,2)," ",RIGHT(O112,2)," ",RIGHT(P112,2)," ",RIGHT(Q112,2)," ",RIGHT(R112,2)," ",RIGHT(S112,2)," ",RIGHT(T112,2)," ",RIGHT(U112,2)," ",RIGHT(V112,2)," ",RIGHT(W112,2)," ",RIGHT(X112,2))</f>
        <v/>
      </c>
    </row>
    <row r="113" s="17">
      <c r="A113" s="222" t="n"/>
      <c r="B113" s="160" t="inlineStr">
        <is>
          <t>Mirror flip</t>
        </is>
      </c>
      <c r="C113" s="160" t="inlineStr">
        <is>
          <t>Settings-no flip</t>
        </is>
      </c>
      <c r="D113" s="160" t="inlineStr">
        <is>
          <t>55 43 49 12 00 10 10 43 00 00 00 00 00 00 00 00 00 00 00 00 00 9C CB</t>
        </is>
      </c>
      <c r="E113" s="161" t="inlineStr">
        <is>
          <t>Note: This function conflicts with the electronic zoom function, i.e.:
Electronic zoom cannot be performed in flip state
Flip cannot be performed in electronic zoom state</t>
        </is>
      </c>
      <c r="F113" s="191" t="n"/>
      <c r="G113" s="192" t="inlineStr">
        <is>
          <t>0x10</t>
        </is>
      </c>
      <c r="H113" s="178" t="inlineStr">
        <is>
          <t>0x10</t>
        </is>
      </c>
      <c r="I113" s="178" t="inlineStr">
        <is>
          <t>0x43</t>
        </is>
      </c>
      <c r="J113" s="178" t="inlineStr">
        <is>
          <t>0x00</t>
        </is>
      </c>
      <c r="K113" s="178" t="inlineStr">
        <is>
          <t>0x00</t>
        </is>
      </c>
      <c r="L113" s="178" t="inlineStr">
        <is>
          <t>0x00</t>
        </is>
      </c>
      <c r="M113" s="178" t="inlineStr">
        <is>
          <t>0x00</t>
        </is>
      </c>
      <c r="N113" s="178" t="inlineStr">
        <is>
          <t>0x00</t>
        </is>
      </c>
      <c r="O113" s="178" t="inlineStr">
        <is>
          <t>0x00</t>
        </is>
      </c>
      <c r="P113" s="178" t="inlineStr">
        <is>
          <t>0x00</t>
        </is>
      </c>
      <c r="Q113" s="178" t="inlineStr">
        <is>
          <t>0x00</t>
        </is>
      </c>
      <c r="R113" s="178" t="inlineStr">
        <is>
          <t>0x00</t>
        </is>
      </c>
      <c r="S113" s="178" t="inlineStr">
        <is>
          <t>0x00</t>
        </is>
      </c>
      <c r="T113" s="178" t="inlineStr">
        <is>
          <t>0x00</t>
        </is>
      </c>
      <c r="U113" s="178" t="inlineStr">
        <is>
          <t>0x00</t>
        </is>
      </c>
      <c r="V113" s="178" t="inlineStr">
        <is>
          <t>0x00</t>
        </is>
      </c>
      <c r="W113" s="180">
        <f>"0x"&amp;MID(D113,64,2)</f>
        <v/>
      </c>
      <c r="X113" s="180">
        <f>"0x"&amp;MID(D113,67,2)</f>
        <v/>
      </c>
      <c r="Y113" s="182">
        <f>CONCATENATE(RIGHT(G113,2)," ",RIGHT(H113,2)," ",RIGHT(I113,2)," ",RIGHT(J113,2)," ",RIGHT(K113,2)," ",RIGHT(L113,2)," ",RIGHT(M113,2)," ",RIGHT(N113,2)," ",RIGHT(O113,2)," ",RIGHT(P113,2)," ",RIGHT(Q113,2)," ",RIGHT(R113,2)," ",RIGHT(S113,2)," ",RIGHT(T113,2)," ",RIGHT(U113,2)," ",RIGHT(V113,2)," ",RIGHT(W113,2)," ",RIGHT(X113,2))</f>
        <v/>
      </c>
    </row>
    <row r="114">
      <c r="A114" s="222" t="n"/>
      <c r="B114" s="223" t="n"/>
      <c r="C114" s="160" t="inlineStr">
        <is>
          <t>Settings-flip left-right</t>
        </is>
      </c>
      <c r="D114" s="160" t="inlineStr">
        <is>
          <t>55 43 49 12 00 10 10 43 00 01 00 00 00 00 00 00 00 00 00 00 00 E9 C8</t>
        </is>
      </c>
      <c r="E114" s="224" t="n"/>
      <c r="F114" s="191" t="n"/>
      <c r="G114" s="192" t="inlineStr">
        <is>
          <t>0x10</t>
        </is>
      </c>
      <c r="H114" s="178" t="inlineStr">
        <is>
          <t>0x10</t>
        </is>
      </c>
      <c r="I114" s="178" t="inlineStr">
        <is>
          <t>0x43</t>
        </is>
      </c>
      <c r="J114" s="178" t="inlineStr">
        <is>
          <t>0x00</t>
        </is>
      </c>
      <c r="K114" s="178" t="inlineStr">
        <is>
          <t>0x01</t>
        </is>
      </c>
      <c r="L114" s="178" t="inlineStr">
        <is>
          <t>0x00</t>
        </is>
      </c>
      <c r="M114" s="178" t="inlineStr">
        <is>
          <t>0x00</t>
        </is>
      </c>
      <c r="N114" s="178" t="inlineStr">
        <is>
          <t>0x00</t>
        </is>
      </c>
      <c r="O114" s="178" t="inlineStr">
        <is>
          <t>0x00</t>
        </is>
      </c>
      <c r="P114" s="178" t="inlineStr">
        <is>
          <t>0x00</t>
        </is>
      </c>
      <c r="Q114" s="178" t="inlineStr">
        <is>
          <t>0x00</t>
        </is>
      </c>
      <c r="R114" s="178" t="inlineStr">
        <is>
          <t>0x00</t>
        </is>
      </c>
      <c r="S114" s="178" t="inlineStr">
        <is>
          <t>0x00</t>
        </is>
      </c>
      <c r="T114" s="178" t="inlineStr">
        <is>
          <t>0x00</t>
        </is>
      </c>
      <c r="U114" s="178" t="inlineStr">
        <is>
          <t>0x00</t>
        </is>
      </c>
      <c r="V114" s="178" t="inlineStr">
        <is>
          <t>0x00</t>
        </is>
      </c>
      <c r="W114" s="180">
        <f>"0x"&amp;MID(D114,64,2)</f>
        <v/>
      </c>
      <c r="X114" s="180">
        <f>"0x"&amp;MID(D114,67,2)</f>
        <v/>
      </c>
      <c r="Y114" s="182">
        <f>CONCATENATE(RIGHT(G114,2)," ",RIGHT(H114,2)," ",RIGHT(I114,2)," ",RIGHT(J114,2)," ",RIGHT(K114,2)," ",RIGHT(L114,2)," ",RIGHT(M114,2)," ",RIGHT(N114,2)," ",RIGHT(O114,2)," ",RIGHT(P114,2)," ",RIGHT(Q114,2)," ",RIGHT(R114,2)," ",RIGHT(S114,2)," ",RIGHT(T114,2)," ",RIGHT(U114,2)," ",RIGHT(V114,2)," ",RIGHT(W114,2)," ",RIGHT(X114,2))</f>
        <v/>
      </c>
    </row>
    <row r="115">
      <c r="A115" s="222" t="n"/>
      <c r="B115" s="223" t="n"/>
      <c r="C115" s="160" t="inlineStr">
        <is>
          <t>Settings-flip up-down</t>
        </is>
      </c>
      <c r="D115" s="160" t="inlineStr">
        <is>
          <t>55 43 49 12 00 10 10 43 00 02 00 00 00 00 00 00 00 00 00 00 00 76 CD</t>
        </is>
      </c>
      <c r="E115" s="224" t="n"/>
      <c r="F115" s="191" t="n"/>
      <c r="G115" s="192" t="inlineStr">
        <is>
          <t>0x10</t>
        </is>
      </c>
      <c r="H115" s="178" t="inlineStr">
        <is>
          <t>0x10</t>
        </is>
      </c>
      <c r="I115" s="178" t="inlineStr">
        <is>
          <t>0x43</t>
        </is>
      </c>
      <c r="J115" s="178" t="inlineStr">
        <is>
          <t>0x00</t>
        </is>
      </c>
      <c r="K115" s="178" t="inlineStr">
        <is>
          <t>0x02</t>
        </is>
      </c>
      <c r="L115" s="178" t="inlineStr">
        <is>
          <t>0x00</t>
        </is>
      </c>
      <c r="M115" s="178" t="inlineStr">
        <is>
          <t>0x00</t>
        </is>
      </c>
      <c r="N115" s="178" t="inlineStr">
        <is>
          <t>0x00</t>
        </is>
      </c>
      <c r="O115" s="178" t="inlineStr">
        <is>
          <t>0x00</t>
        </is>
      </c>
      <c r="P115" s="178" t="inlineStr">
        <is>
          <t>0x00</t>
        </is>
      </c>
      <c r="Q115" s="178" t="inlineStr">
        <is>
          <t>0x00</t>
        </is>
      </c>
      <c r="R115" s="178" t="inlineStr">
        <is>
          <t>0x00</t>
        </is>
      </c>
      <c r="S115" s="178" t="inlineStr">
        <is>
          <t>0x00</t>
        </is>
      </c>
      <c r="T115" s="178" t="inlineStr">
        <is>
          <t>0x00</t>
        </is>
      </c>
      <c r="U115" s="178" t="inlineStr">
        <is>
          <t>0x00</t>
        </is>
      </c>
      <c r="V115" s="178" t="inlineStr">
        <is>
          <t>0x00</t>
        </is>
      </c>
      <c r="W115" s="180">
        <f>"0x"&amp;MID(D115,64,2)</f>
        <v/>
      </c>
      <c r="X115" s="180">
        <f>"0x"&amp;MID(D115,67,2)</f>
        <v/>
      </c>
      <c r="Y115" s="182">
        <f>CONCATENATE(RIGHT(G115,2)," ",RIGHT(H115,2)," ",RIGHT(I115,2)," ",RIGHT(J115,2)," ",RIGHT(K115,2)," ",RIGHT(L115,2)," ",RIGHT(M115,2)," ",RIGHT(N115,2)," ",RIGHT(O115,2)," ",RIGHT(P115,2)," ",RIGHT(Q115,2)," ",RIGHT(R115,2)," ",RIGHT(S115,2)," ",RIGHT(T115,2)," ",RIGHT(U115,2)," ",RIGHT(V115,2)," ",RIGHT(W115,2)," ",RIGHT(X115,2))</f>
        <v/>
      </c>
    </row>
    <row r="116">
      <c r="A116" s="222" t="n"/>
      <c r="B116" s="223" t="n"/>
      <c r="C116" s="160" t="inlineStr">
        <is>
          <t>Settings - Left and Right + Up and Down Flip</t>
        </is>
      </c>
      <c r="D116" s="160" t="inlineStr">
        <is>
          <t>55 43 49 12 00 10 10 43 00 03 00 00 00 00 00 00 00 00 00 00 00 03 CE</t>
        </is>
      </c>
      <c r="E116" s="226" t="n"/>
      <c r="F116" s="191" t="n"/>
      <c r="G116" s="192" t="inlineStr">
        <is>
          <t>0x10</t>
        </is>
      </c>
      <c r="H116" s="178" t="inlineStr">
        <is>
          <t>0x10</t>
        </is>
      </c>
      <c r="I116" s="178" t="inlineStr">
        <is>
          <t>0x43</t>
        </is>
      </c>
      <c r="J116" s="178" t="inlineStr">
        <is>
          <t>0x00</t>
        </is>
      </c>
      <c r="K116" s="178" t="inlineStr">
        <is>
          <t>0x03</t>
        </is>
      </c>
      <c r="L116" s="178" t="inlineStr">
        <is>
          <t>0x00</t>
        </is>
      </c>
      <c r="M116" s="178" t="inlineStr">
        <is>
          <t>0x00</t>
        </is>
      </c>
      <c r="N116" s="178" t="inlineStr">
        <is>
          <t>0x00</t>
        </is>
      </c>
      <c r="O116" s="178" t="inlineStr">
        <is>
          <t>0x00</t>
        </is>
      </c>
      <c r="P116" s="178" t="inlineStr">
        <is>
          <t>0x00</t>
        </is>
      </c>
      <c r="Q116" s="178" t="inlineStr">
        <is>
          <t>0x00</t>
        </is>
      </c>
      <c r="R116" s="178" t="inlineStr">
        <is>
          <t>0x00</t>
        </is>
      </c>
      <c r="S116" s="178" t="inlineStr">
        <is>
          <t>0x00</t>
        </is>
      </c>
      <c r="T116" s="178" t="inlineStr">
        <is>
          <t>0x00</t>
        </is>
      </c>
      <c r="U116" s="178" t="inlineStr">
        <is>
          <t>0x00</t>
        </is>
      </c>
      <c r="V116" s="178" t="inlineStr">
        <is>
          <t>0x00</t>
        </is>
      </c>
      <c r="W116" s="180">
        <f>"0x"&amp;MID(D116,64,2)</f>
        <v/>
      </c>
      <c r="X116" s="180">
        <f>"0x"&amp;MID(D116,67,2)</f>
        <v/>
      </c>
      <c r="Y116" s="182">
        <f>CONCATENATE(RIGHT(G116,2)," ",RIGHT(H116,2)," ",RIGHT(I116,2)," ",RIGHT(J116,2)," ",RIGHT(K116,2)," ",RIGHT(L116,2)," ",RIGHT(M116,2)," ",RIGHT(N116,2)," ",RIGHT(O116,2)," ",RIGHT(P116,2)," ",RIGHT(Q116,2)," ",RIGHT(R116,2)," ",RIGHT(S116,2)," ",RIGHT(T116,2)," ",RIGHT(U116,2)," ",RIGHT(V116,2)," ",RIGHT(W116,2)," ",RIGHT(X116,2))</f>
        <v/>
      </c>
    </row>
    <row r="117" ht="57" customHeight="1" s="17">
      <c r="A117" s="222" t="n"/>
      <c r="B117" s="225" t="n"/>
      <c r="C117" s="160" t="inlineStr">
        <is>
          <t>Get</t>
        </is>
      </c>
      <c r="D117" s="160" t="inlineStr">
        <is>
          <t>55 43 49 12 00 10 10 83 00 00 00 00 00 00 00 00 00 01 00 00 00 E9 C1</t>
        </is>
      </c>
      <c r="E117" s="161" t="inlineStr">
        <is>
          <t>BE AA 02 00 00 00 AD FA EB AA: No Flip
BE AA 02 00 00 01 8C EA EB AA: Left and Right Flip
BE AA 02 00 00 02 EF DA EB AA: Up and Down Flip
BE AA 02 00 00 03 CE CA EB AA: Left and Right + Up and Down Flip</t>
        </is>
      </c>
      <c r="F117" s="191" t="n"/>
      <c r="G117" s="192" t="inlineStr">
        <is>
          <t>0x10</t>
        </is>
      </c>
      <c r="H117" s="178" t="inlineStr">
        <is>
          <t>0x10</t>
        </is>
      </c>
      <c r="I117" s="178" t="inlineStr">
        <is>
          <t>0x83</t>
        </is>
      </c>
      <c r="J117" s="178" t="inlineStr">
        <is>
          <t>0x00</t>
        </is>
      </c>
      <c r="K117" s="178" t="inlineStr">
        <is>
          <t>0x00</t>
        </is>
      </c>
      <c r="L117" s="178" t="inlineStr">
        <is>
          <t>0x00</t>
        </is>
      </c>
      <c r="M117" s="178" t="inlineStr">
        <is>
          <t>0x00</t>
        </is>
      </c>
      <c r="N117" s="178" t="inlineStr">
        <is>
          <t>0x00</t>
        </is>
      </c>
      <c r="O117" s="178" t="inlineStr">
        <is>
          <t>0x00</t>
        </is>
      </c>
      <c r="P117" s="178" t="inlineStr">
        <is>
          <t>0x00</t>
        </is>
      </c>
      <c r="Q117" s="178" t="inlineStr">
        <is>
          <t>0x00</t>
        </is>
      </c>
      <c r="R117" s="178" t="inlineStr">
        <is>
          <t>0x00</t>
        </is>
      </c>
      <c r="S117" s="178" t="inlineStr">
        <is>
          <t>0x01</t>
        </is>
      </c>
      <c r="T117" s="178" t="inlineStr">
        <is>
          <t>0x00</t>
        </is>
      </c>
      <c r="U117" s="178" t="inlineStr">
        <is>
          <t>0x00</t>
        </is>
      </c>
      <c r="V117" s="178" t="inlineStr">
        <is>
          <t>0x00</t>
        </is>
      </c>
      <c r="W117" s="180">
        <f>"0x"&amp;MID(D117,64,2)</f>
        <v/>
      </c>
      <c r="X117" s="180">
        <f>"0x"&amp;MID(D117,67,2)</f>
        <v/>
      </c>
      <c r="Y117" s="182">
        <f>CONCATENATE(RIGHT(G117,2)," ",RIGHT(H117,2)," ",RIGHT(I117,2)," ",RIGHT(J117,2)," ",RIGHT(K117,2)," ",RIGHT(L117,2)," ",RIGHT(M117,2)," ",RIGHT(N117,2)," ",RIGHT(O117,2)," ",RIGHT(P117,2)," ",RIGHT(Q117,2)," ",RIGHT(R117,2)," ",RIGHT(S117,2)," ",RIGHT(T117,2)," ",RIGHT(U117,2)," ",RIGHT(V117,2)," ",RIGHT(W117,2)," ",RIGHT(X117,2))</f>
        <v/>
      </c>
    </row>
    <row r="118" ht="29" customHeight="1" s="17">
      <c r="A118" s="222" t="n"/>
      <c r="B118" s="160" t="inlineStr">
        <is>
          <t>External Synchronization Mode</t>
        </is>
      </c>
      <c r="C118" s="160" t="inlineStr">
        <is>
          <t>Set - On</t>
        </is>
      </c>
      <c r="D118" s="160" t="inlineStr">
        <is>
          <t>55 43 49 12 00 10 10 4B 00 01 00 00 00 00 00 00 00 00 00 00 00 82 23</t>
        </is>
      </c>
      <c r="E118" s="193" t="inlineStr">
        <is>
          <t>Note: Only mipi and dvp outputs support external synchronization mode. In external synchronization mode, electronic zoom, mirroring, and flipping are not supported.</t>
        </is>
      </c>
      <c r="F118" s="191" t="n"/>
      <c r="G118" s="192" t="inlineStr">
        <is>
          <t>0x10</t>
        </is>
      </c>
      <c r="H118" s="178" t="inlineStr">
        <is>
          <t>0x10</t>
        </is>
      </c>
      <c r="I118" s="178" t="inlineStr">
        <is>
          <t>0x4B</t>
        </is>
      </c>
      <c r="J118" s="178" t="inlineStr">
        <is>
          <t>0x00</t>
        </is>
      </c>
      <c r="K118" s="178" t="inlineStr">
        <is>
          <t>0x01</t>
        </is>
      </c>
      <c r="L118" s="178" t="inlineStr">
        <is>
          <t>0x00</t>
        </is>
      </c>
      <c r="M118" s="178" t="inlineStr">
        <is>
          <t>0x00</t>
        </is>
      </c>
      <c r="N118" s="178" t="inlineStr">
        <is>
          <t>0x00</t>
        </is>
      </c>
      <c r="O118" s="178" t="inlineStr">
        <is>
          <t>0x00</t>
        </is>
      </c>
      <c r="P118" s="178" t="inlineStr">
        <is>
          <t>0x00</t>
        </is>
      </c>
      <c r="Q118" s="178" t="inlineStr">
        <is>
          <t>0x00</t>
        </is>
      </c>
      <c r="R118" s="178" t="inlineStr">
        <is>
          <t>0x00</t>
        </is>
      </c>
      <c r="S118" s="178" t="inlineStr">
        <is>
          <t>0x00</t>
        </is>
      </c>
      <c r="T118" s="178" t="inlineStr">
        <is>
          <t>0x00</t>
        </is>
      </c>
      <c r="U118" s="178" t="inlineStr">
        <is>
          <t>0x00</t>
        </is>
      </c>
      <c r="V118" s="178" t="inlineStr">
        <is>
          <t>0x00</t>
        </is>
      </c>
      <c r="W118" s="180">
        <f>"0x"&amp;MID(D118,64,2)</f>
        <v/>
      </c>
      <c r="X118" s="180">
        <f>"0x"&amp;MID(D118,67,2)</f>
        <v/>
      </c>
      <c r="Y118" s="182">
        <f>CONCATENATE(RIGHT(G118,2)," ",RIGHT(H118,2)," ",RIGHT(I118,2)," ",RIGHT(J118,2)," ",RIGHT(K118,2)," ",RIGHT(L118,2)," ",RIGHT(M118,2)," ",RIGHT(N118,2)," ",RIGHT(O118,2)," ",RIGHT(P118,2)," ",RIGHT(Q118,2)," ",RIGHT(R118,2)," ",RIGHT(S118,2)," ",RIGHT(T118,2)," ",RIGHT(U118,2)," ",RIGHT(V118,2)," ",RIGHT(W118,2)," ",RIGHT(X118,2))</f>
        <v/>
      </c>
    </row>
    <row r="119" s="17">
      <c r="A119" s="222" t="n"/>
      <c r="B119" s="223" t="n"/>
      <c r="C119" s="160" t="inlineStr">
        <is>
          <t>Set - Off</t>
        </is>
      </c>
      <c r="D119" s="160" t="inlineStr">
        <is>
          <t>55 43 49 12 00 10 10 4B 00 00 00 00 00 00 00 00 00 00 00 00 00 F7 20</t>
        </is>
      </c>
      <c r="E119" s="193" t="n"/>
      <c r="F119" s="191" t="n"/>
      <c r="G119" s="192" t="inlineStr">
        <is>
          <t>0x10</t>
        </is>
      </c>
      <c r="H119" s="178" t="inlineStr">
        <is>
          <t>0x10</t>
        </is>
      </c>
      <c r="I119" s="178" t="inlineStr">
        <is>
          <t>0x4B</t>
        </is>
      </c>
      <c r="J119" s="178" t="inlineStr">
        <is>
          <t>0x00</t>
        </is>
      </c>
      <c r="K119" s="178" t="inlineStr">
        <is>
          <t>0x00</t>
        </is>
      </c>
      <c r="L119" s="178" t="inlineStr">
        <is>
          <t>0x00</t>
        </is>
      </c>
      <c r="M119" s="178" t="inlineStr">
        <is>
          <t>0x00</t>
        </is>
      </c>
      <c r="N119" s="178" t="inlineStr">
        <is>
          <t>0x00</t>
        </is>
      </c>
      <c r="O119" s="178" t="inlineStr">
        <is>
          <t>0x00</t>
        </is>
      </c>
      <c r="P119" s="178" t="inlineStr">
        <is>
          <t>0x00</t>
        </is>
      </c>
      <c r="Q119" s="178" t="inlineStr">
        <is>
          <t>0x00</t>
        </is>
      </c>
      <c r="R119" s="178" t="inlineStr">
        <is>
          <t>0x00</t>
        </is>
      </c>
      <c r="S119" s="178" t="inlineStr">
        <is>
          <t>0x00</t>
        </is>
      </c>
      <c r="T119" s="178" t="inlineStr">
        <is>
          <t>0x00</t>
        </is>
      </c>
      <c r="U119" s="178" t="inlineStr">
        <is>
          <t>0x00</t>
        </is>
      </c>
      <c r="V119" s="178" t="inlineStr">
        <is>
          <t>0x00</t>
        </is>
      </c>
      <c r="W119" s="180">
        <f>"0x"&amp;MID(D119,64,2)</f>
        <v/>
      </c>
      <c r="X119" s="180">
        <f>"0x"&amp;MID(D119,67,2)</f>
        <v/>
      </c>
      <c r="Y119" s="182">
        <f>CONCATENATE(RIGHT(G119,2)," ",RIGHT(H119,2)," ",RIGHT(I119,2)," ",RIGHT(J119,2)," ",RIGHT(K119,2)," ",RIGHT(L119,2)," ",RIGHT(M119,2)," ",RIGHT(N119,2)," ",RIGHT(O119,2)," ",RIGHT(P119,2)," ",RIGHT(Q119,2)," ",RIGHT(R119,2)," ",RIGHT(S119,2)," ",RIGHT(T119,2)," ",RIGHT(U119,2)," ",RIGHT(V119,2)," ",RIGHT(W119,2)," ",RIGHT(X119,2))</f>
        <v/>
      </c>
    </row>
    <row r="120" s="17">
      <c r="A120" s="222" t="n"/>
      <c r="B120" s="225" t="n"/>
      <c r="C120" s="160" t="inlineStr">
        <is>
          <t>Get</t>
        </is>
      </c>
      <c r="D120" s="160" t="inlineStr">
        <is>
          <t>55 43 49 12 00 10 10 8B 00 00 00 00 00 00 00 00 00 01 00 00 00 82 2A</t>
        </is>
      </c>
      <c r="E120" s="193" t="n"/>
      <c r="F120" s="191" t="n"/>
      <c r="G120" s="192" t="inlineStr">
        <is>
          <t>0x10</t>
        </is>
      </c>
      <c r="H120" s="178" t="inlineStr">
        <is>
          <t>0x10</t>
        </is>
      </c>
      <c r="I120" s="178" t="inlineStr">
        <is>
          <t>0x8B</t>
        </is>
      </c>
      <c r="J120" s="178" t="inlineStr">
        <is>
          <t>0x00</t>
        </is>
      </c>
      <c r="K120" s="178" t="inlineStr">
        <is>
          <t>0x00</t>
        </is>
      </c>
      <c r="L120" s="178" t="inlineStr">
        <is>
          <t>0x00</t>
        </is>
      </c>
      <c r="M120" s="178" t="inlineStr">
        <is>
          <t>0x00</t>
        </is>
      </c>
      <c r="N120" s="178" t="inlineStr">
        <is>
          <t>0x00</t>
        </is>
      </c>
      <c r="O120" s="178" t="inlineStr">
        <is>
          <t>0x00</t>
        </is>
      </c>
      <c r="P120" s="178" t="inlineStr">
        <is>
          <t>0x00</t>
        </is>
      </c>
      <c r="Q120" s="178" t="inlineStr">
        <is>
          <t>0x00</t>
        </is>
      </c>
      <c r="R120" s="178" t="inlineStr">
        <is>
          <t>0x00</t>
        </is>
      </c>
      <c r="S120" s="178" t="inlineStr">
        <is>
          <t>0x01</t>
        </is>
      </c>
      <c r="T120" s="178" t="inlineStr">
        <is>
          <t>0x00</t>
        </is>
      </c>
      <c r="U120" s="178" t="inlineStr">
        <is>
          <t>0x00</t>
        </is>
      </c>
      <c r="V120" s="178" t="inlineStr">
        <is>
          <t>0x00</t>
        </is>
      </c>
      <c r="W120" s="180">
        <f>"0x"&amp;MID(D120,64,2)</f>
        <v/>
      </c>
      <c r="X120" s="180">
        <f>"0x"&amp;MID(D120,67,2)</f>
        <v/>
      </c>
      <c r="Y120" s="182">
        <f>CONCATENATE(RIGHT(G120,2)," ",RIGHT(H120,2)," ",RIGHT(I120,2)," ",RIGHT(J120,2)," ",RIGHT(K120,2)," ",RIGHT(L120,2)," ",RIGHT(M120,2)," ",RIGHT(N120,2)," ",RIGHT(O120,2)," ",RIGHT(P120,2)," ",RIGHT(Q120,2)," ",RIGHT(R120,2)," ",RIGHT(S120,2)," ",RIGHT(T120,2)," ",RIGHT(U120,2)," ",RIGHT(V120,2)," ",RIGHT(W120,2)," ",RIGHT(X120,2))</f>
        <v/>
      </c>
    </row>
    <row r="121" s="17">
      <c r="A121" s="222" t="n"/>
      <c r="B121" s="160" t="inlineStr">
        <is>
          <t>Electronic Zoom - Center</t>
        </is>
      </c>
      <c r="C121" s="160" t="inlineStr">
        <is>
          <t>Settings - 1x</t>
        </is>
      </c>
      <c r="D121" s="160" t="inlineStr">
        <is>
          <t>55 43 49 12 00 01 31 42 00 00 0A 00 00 00 00 00 00 00 00 00 00 06 0A</t>
        </is>
      </c>
      <c r="E121" s="161" t="inlineStr">
        <is>
          <t>Para1[1]: Zoom ratio, 0x0A=10, which is 1.0x
The maximum zoom ratio is X8.0</t>
        </is>
      </c>
      <c r="F121" s="191" t="n"/>
      <c r="G121" s="192" t="inlineStr">
        <is>
          <t>0x01</t>
        </is>
      </c>
      <c r="H121" s="178" t="inlineStr">
        <is>
          <t>0x31</t>
        </is>
      </c>
      <c r="I121" s="178" t="inlineStr">
        <is>
          <t>0x42</t>
        </is>
      </c>
      <c r="J121" s="178" t="inlineStr">
        <is>
          <t>0x00</t>
        </is>
      </c>
      <c r="K121" s="178" t="inlineStr">
        <is>
          <t>0x00</t>
        </is>
      </c>
      <c r="L121" s="130" t="inlineStr">
        <is>
          <t>0x0A</t>
        </is>
      </c>
      <c r="M121" s="178" t="inlineStr">
        <is>
          <t>0x00</t>
        </is>
      </c>
      <c r="N121" s="178" t="inlineStr">
        <is>
          <t>0x00</t>
        </is>
      </c>
      <c r="O121" s="178" t="inlineStr">
        <is>
          <t>0x00</t>
        </is>
      </c>
      <c r="P121" s="178" t="inlineStr">
        <is>
          <t>0x00</t>
        </is>
      </c>
      <c r="Q121" s="178" t="inlineStr">
        <is>
          <t>0x00</t>
        </is>
      </c>
      <c r="R121" s="178" t="inlineStr">
        <is>
          <t>0x00</t>
        </is>
      </c>
      <c r="S121" s="178" t="inlineStr">
        <is>
          <t>0x00</t>
        </is>
      </c>
      <c r="T121" s="178" t="inlineStr">
        <is>
          <t>0x00</t>
        </is>
      </c>
      <c r="U121" s="178" t="inlineStr">
        <is>
          <t>0x00</t>
        </is>
      </c>
      <c r="V121" s="178" t="inlineStr">
        <is>
          <t>0x00</t>
        </is>
      </c>
      <c r="W121" s="180">
        <f>"0x"&amp;MID(D121,64,2)</f>
        <v/>
      </c>
      <c r="X121" s="180">
        <f>"0x"&amp;MID(D121,67,2)</f>
        <v/>
      </c>
      <c r="Y121" s="182">
        <f>CONCATENATE(RIGHT(G121,2)," ",RIGHT(H121,2)," ",RIGHT(I121,2)," ",RIGHT(J121,2)," ",RIGHT(K121,2)," ",RIGHT(L121,2)," ",RIGHT(M121,2)," ",RIGHT(N121,2)," ",RIGHT(O121,2)," ",RIGHT(P121,2)," ",RIGHT(Q121,2)," ",RIGHT(R121,2)," ",RIGHT(S121,2)," ",RIGHT(T121,2)," ",RIGHT(U121,2)," ",RIGHT(V121,2)," ",RIGHT(W121,2)," ",RIGHT(X121,2))</f>
        <v/>
      </c>
    </row>
    <row r="122">
      <c r="A122" s="222" t="n"/>
      <c r="B122" s="223" t="n"/>
      <c r="C122" s="160" t="inlineStr">
        <is>
          <t>Settings - 2x</t>
        </is>
      </c>
      <c r="D122" s="160" t="inlineStr">
        <is>
          <t>55 43 49 12 00 01 31 42 00 00 14 00 00 00 00 00 00 00 00 00 00 41 0C</t>
        </is>
      </c>
      <c r="E122" s="224" t="n"/>
      <c r="F122" s="191" t="n"/>
      <c r="G122" s="192" t="inlineStr">
        <is>
          <t>0x01</t>
        </is>
      </c>
      <c r="H122" s="178" t="inlineStr">
        <is>
          <t>0x31</t>
        </is>
      </c>
      <c r="I122" s="178" t="inlineStr">
        <is>
          <t>0x42</t>
        </is>
      </c>
      <c r="J122" s="178" t="inlineStr">
        <is>
          <t>0x00</t>
        </is>
      </c>
      <c r="K122" s="178" t="inlineStr">
        <is>
          <t>0x00</t>
        </is>
      </c>
      <c r="L122" s="130" t="inlineStr">
        <is>
          <t>0x14</t>
        </is>
      </c>
      <c r="M122" s="178" t="inlineStr">
        <is>
          <t>0x00</t>
        </is>
      </c>
      <c r="N122" s="178" t="inlineStr">
        <is>
          <t>0x00</t>
        </is>
      </c>
      <c r="O122" s="178" t="inlineStr">
        <is>
          <t>0x00</t>
        </is>
      </c>
      <c r="P122" s="178" t="inlineStr">
        <is>
          <t>0x00</t>
        </is>
      </c>
      <c r="Q122" s="178" t="inlineStr">
        <is>
          <t>0x00</t>
        </is>
      </c>
      <c r="R122" s="178" t="inlineStr">
        <is>
          <t>0x00</t>
        </is>
      </c>
      <c r="S122" s="178" t="inlineStr">
        <is>
          <t>0x00</t>
        </is>
      </c>
      <c r="T122" s="178" t="inlineStr">
        <is>
          <t>0x00</t>
        </is>
      </c>
      <c r="U122" s="178" t="inlineStr">
        <is>
          <t>0x00</t>
        </is>
      </c>
      <c r="V122" s="178" t="inlineStr">
        <is>
          <t>0x00</t>
        </is>
      </c>
      <c r="W122" s="180">
        <f>"0x"&amp;MID(D122,64,2)</f>
        <v/>
      </c>
      <c r="X122" s="180">
        <f>"0x"&amp;MID(D122,67,2)</f>
        <v/>
      </c>
      <c r="Y122" s="182">
        <f>CONCATENATE(RIGHT(G122,2)," ",RIGHT(H122,2)," ",RIGHT(I122,2)," ",RIGHT(J122,2)," ",RIGHT(K122,2)," ",RIGHT(L122,2)," ",RIGHT(M122,2)," ",RIGHT(N122,2)," ",RIGHT(O122,2)," ",RIGHT(P122,2)," ",RIGHT(Q122,2)," ",RIGHT(R122,2)," ",RIGHT(S122,2)," ",RIGHT(T122,2)," ",RIGHT(U122,2)," ",RIGHT(V122,2)," ",RIGHT(W122,2)," ",RIGHT(X122,2))</f>
        <v/>
      </c>
    </row>
    <row r="123">
      <c r="A123" s="222" t="n"/>
      <c r="B123" s="223" t="n"/>
      <c r="C123" s="160" t="inlineStr">
        <is>
          <t>Settings - 3x</t>
        </is>
      </c>
      <c r="D123" s="160" t="inlineStr">
        <is>
          <t>55 43 49 12 00 01 31 42 00 00 1E 00 00 00 00 00 00 00 00 00 00 7C 0E</t>
        </is>
      </c>
      <c r="E123" s="224" t="n"/>
      <c r="F123" s="191" t="n"/>
      <c r="G123" s="192" t="inlineStr">
        <is>
          <t>0x01</t>
        </is>
      </c>
      <c r="H123" s="178" t="inlineStr">
        <is>
          <t>0x31</t>
        </is>
      </c>
      <c r="I123" s="178" t="inlineStr">
        <is>
          <t>0x42</t>
        </is>
      </c>
      <c r="J123" s="178" t="inlineStr">
        <is>
          <t>0x00</t>
        </is>
      </c>
      <c r="K123" s="178" t="inlineStr">
        <is>
          <t>0x00</t>
        </is>
      </c>
      <c r="L123" s="130" t="inlineStr">
        <is>
          <t>0x1E</t>
        </is>
      </c>
      <c r="M123" s="178" t="inlineStr">
        <is>
          <t>0x00</t>
        </is>
      </c>
      <c r="N123" s="178" t="inlineStr">
        <is>
          <t>0x00</t>
        </is>
      </c>
      <c r="O123" s="178" t="inlineStr">
        <is>
          <t>0x00</t>
        </is>
      </c>
      <c r="P123" s="178" t="inlineStr">
        <is>
          <t>0x00</t>
        </is>
      </c>
      <c r="Q123" s="178" t="inlineStr">
        <is>
          <t>0x00</t>
        </is>
      </c>
      <c r="R123" s="178" t="inlineStr">
        <is>
          <t>0x00</t>
        </is>
      </c>
      <c r="S123" s="178" t="inlineStr">
        <is>
          <t>0x00</t>
        </is>
      </c>
      <c r="T123" s="178" t="inlineStr">
        <is>
          <t>0x00</t>
        </is>
      </c>
      <c r="U123" s="178" t="inlineStr">
        <is>
          <t>0x00</t>
        </is>
      </c>
      <c r="V123" s="178" t="inlineStr">
        <is>
          <t>0x00</t>
        </is>
      </c>
      <c r="W123" s="180">
        <f>"0x"&amp;MID(D123,64,2)</f>
        <v/>
      </c>
      <c r="X123" s="180">
        <f>"0x"&amp;MID(D123,67,2)</f>
        <v/>
      </c>
      <c r="Y123" s="182">
        <f>CONCATENATE(RIGHT(G123,2)," ",RIGHT(H123,2)," ",RIGHT(I123,2)," ",RIGHT(J123,2)," ",RIGHT(K123,2)," ",RIGHT(L123,2)," ",RIGHT(M123,2)," ",RIGHT(N123,2)," ",RIGHT(O123,2)," ",RIGHT(P123,2)," ",RIGHT(Q123,2)," ",RIGHT(R123,2)," ",RIGHT(S123,2)," ",RIGHT(T123,2)," ",RIGHT(U123,2)," ",RIGHT(V123,2)," ",RIGHT(W123,2)," ",RIGHT(X123,2))</f>
        <v/>
      </c>
    </row>
    <row r="124">
      <c r="A124" s="222" t="n"/>
      <c r="B124" s="223" t="n"/>
      <c r="C124" s="160" t="inlineStr">
        <is>
          <t>Settings - 4x</t>
        </is>
      </c>
      <c r="D124" s="160" t="inlineStr">
        <is>
          <t>55 43 49 12 00 01 31 42 00 00 28 00 00 00 00 00 00 00 00 00 00 CF 00</t>
        </is>
      </c>
      <c r="E124" s="224" t="n"/>
      <c r="F124" s="191" t="n"/>
      <c r="G124" s="192" t="inlineStr">
        <is>
          <t>0x01</t>
        </is>
      </c>
      <c r="H124" s="178" t="inlineStr">
        <is>
          <t>0x31</t>
        </is>
      </c>
      <c r="I124" s="178" t="inlineStr">
        <is>
          <t>0x42</t>
        </is>
      </c>
      <c r="J124" s="178" t="inlineStr">
        <is>
          <t>0x00</t>
        </is>
      </c>
      <c r="K124" s="178" t="inlineStr">
        <is>
          <t>0x00</t>
        </is>
      </c>
      <c r="L124" s="130" t="inlineStr">
        <is>
          <t>0x28</t>
        </is>
      </c>
      <c r="M124" s="178" t="inlineStr">
        <is>
          <t>0x00</t>
        </is>
      </c>
      <c r="N124" s="178" t="inlineStr">
        <is>
          <t>0x00</t>
        </is>
      </c>
      <c r="O124" s="178" t="inlineStr">
        <is>
          <t>0x00</t>
        </is>
      </c>
      <c r="P124" s="178" t="inlineStr">
        <is>
          <t>0x00</t>
        </is>
      </c>
      <c r="Q124" s="178" t="inlineStr">
        <is>
          <t>0x00</t>
        </is>
      </c>
      <c r="R124" s="178" t="inlineStr">
        <is>
          <t>0x00</t>
        </is>
      </c>
      <c r="S124" s="178" t="inlineStr">
        <is>
          <t>0x00</t>
        </is>
      </c>
      <c r="T124" s="178" t="inlineStr">
        <is>
          <t>0x00</t>
        </is>
      </c>
      <c r="U124" s="178" t="inlineStr">
        <is>
          <t>0x00</t>
        </is>
      </c>
      <c r="V124" s="178" t="inlineStr">
        <is>
          <t>0x00</t>
        </is>
      </c>
      <c r="W124" s="180">
        <f>"0x"&amp;MID(D124,64,2)</f>
        <v/>
      </c>
      <c r="X124" s="180">
        <f>"0x"&amp;MID(D124,67,2)</f>
        <v/>
      </c>
      <c r="Y124" s="182">
        <f>CONCATENATE(RIGHT(G124,2)," ",RIGHT(H124,2)," ",RIGHT(I124,2)," ",RIGHT(J124,2)," ",RIGHT(K124,2)," ",RIGHT(L124,2)," ",RIGHT(M124,2)," ",RIGHT(N124,2)," ",RIGHT(O124,2)," ",RIGHT(P124,2)," ",RIGHT(Q124,2)," ",RIGHT(R124,2)," ",RIGHT(S124,2)," ",RIGHT(T124,2)," ",RIGHT(U124,2)," ",RIGHT(V124,2)," ",RIGHT(W124,2)," ",RIGHT(X124,2))</f>
        <v/>
      </c>
    </row>
    <row r="125">
      <c r="A125" s="222" t="n"/>
      <c r="B125" s="223" t="n"/>
      <c r="C125" s="160" t="inlineStr">
        <is>
          <t>Settings - 8x</t>
        </is>
      </c>
      <c r="D125" s="160" t="inlineStr">
        <is>
          <t>55 43 49 12 00 01 31 42 00 00 50 00 00 00 00 00 00 00 00 00 00 D3 19</t>
        </is>
      </c>
      <c r="E125" s="226" t="n"/>
      <c r="F125" s="191" t="n"/>
      <c r="G125" s="192" t="inlineStr">
        <is>
          <t>0x01</t>
        </is>
      </c>
      <c r="H125" s="178" t="inlineStr">
        <is>
          <t>0x31</t>
        </is>
      </c>
      <c r="I125" s="178" t="inlineStr">
        <is>
          <t>0x42</t>
        </is>
      </c>
      <c r="J125" s="178" t="inlineStr">
        <is>
          <t>0x00</t>
        </is>
      </c>
      <c r="K125" s="178" t="inlineStr">
        <is>
          <t>0x00</t>
        </is>
      </c>
      <c r="L125" s="130" t="inlineStr">
        <is>
          <t>0x50</t>
        </is>
      </c>
      <c r="M125" s="178" t="inlineStr">
        <is>
          <t>0x00</t>
        </is>
      </c>
      <c r="N125" s="178" t="inlineStr">
        <is>
          <t>0x00</t>
        </is>
      </c>
      <c r="O125" s="178" t="inlineStr">
        <is>
          <t>0x00</t>
        </is>
      </c>
      <c r="P125" s="178" t="inlineStr">
        <is>
          <t>0x00</t>
        </is>
      </c>
      <c r="Q125" s="178" t="inlineStr">
        <is>
          <t>0x00</t>
        </is>
      </c>
      <c r="R125" s="178" t="inlineStr">
        <is>
          <t>0x00</t>
        </is>
      </c>
      <c r="S125" s="178" t="inlineStr">
        <is>
          <t>0x00</t>
        </is>
      </c>
      <c r="T125" s="178" t="inlineStr">
        <is>
          <t>0x00</t>
        </is>
      </c>
      <c r="U125" s="178" t="inlineStr">
        <is>
          <t>0x00</t>
        </is>
      </c>
      <c r="V125" s="178" t="inlineStr">
        <is>
          <t>0x00</t>
        </is>
      </c>
      <c r="W125" s="180">
        <f>"0x"&amp;MID(D125,64,2)</f>
        <v/>
      </c>
      <c r="X125" s="180">
        <f>"0x"&amp;MID(D125,67,2)</f>
        <v/>
      </c>
      <c r="Y125" s="182">
        <f>CONCATENATE(RIGHT(G125,2)," ",RIGHT(H125,2)," ",RIGHT(I125,2)," ",RIGHT(J125,2)," ",RIGHT(K125,2)," ",RIGHT(L125,2)," ",RIGHT(M125,2)," ",RIGHT(N125,2)," ",RIGHT(O125,2)," ",RIGHT(P125,2)," ",RIGHT(Q125,2)," ",RIGHT(R125,2)," ",RIGHT(S125,2)," ",RIGHT(T125,2)," ",RIGHT(U125,2)," ",RIGHT(V125,2)," ",RIGHT(W125,2)," ",RIGHT(X125,2))</f>
        <v/>
      </c>
    </row>
    <row r="126" ht="28.5" customHeight="1" s="17">
      <c r="A126" s="222" t="n"/>
      <c r="B126" s="225" t="n"/>
      <c r="C126" s="160" t="inlineStr">
        <is>
          <t>Get</t>
        </is>
      </c>
      <c r="D126" s="160" t="inlineStr">
        <is>
          <t>55 43 49 12 00 01 31 82 00 00 00 00 00 00 00 00 00 01 00 00 00 4E 02</t>
        </is>
      </c>
      <c r="E126" s="161" t="inlineStr">
        <is>
          <t>BE AA 02 00 00 50 58 A0 EB AA: Indicates 0x50=80, which is 8.0x
Note that this instruction is only used to obtain information about center zoom, and is unrelated to coordinate zoom.</t>
        </is>
      </c>
      <c r="F126" s="191" t="n"/>
      <c r="G126" s="192" t="inlineStr">
        <is>
          <t>0x01</t>
        </is>
      </c>
      <c r="H126" s="178" t="inlineStr">
        <is>
          <t>0x31</t>
        </is>
      </c>
      <c r="I126" s="178" t="inlineStr">
        <is>
          <t>0x82</t>
        </is>
      </c>
      <c r="J126" s="178" t="inlineStr">
        <is>
          <t>0x00</t>
        </is>
      </c>
      <c r="K126" s="178" t="inlineStr">
        <is>
          <t>0x00</t>
        </is>
      </c>
      <c r="L126" s="178" t="inlineStr">
        <is>
          <t>0x00</t>
        </is>
      </c>
      <c r="M126" s="178" t="inlineStr">
        <is>
          <t>0x00</t>
        </is>
      </c>
      <c r="N126" s="178" t="inlineStr">
        <is>
          <t>0x00</t>
        </is>
      </c>
      <c r="O126" s="178" t="inlineStr">
        <is>
          <t>0x00</t>
        </is>
      </c>
      <c r="P126" s="178" t="inlineStr">
        <is>
          <t>0x00</t>
        </is>
      </c>
      <c r="Q126" s="178" t="inlineStr">
        <is>
          <t>0x00</t>
        </is>
      </c>
      <c r="R126" s="178" t="inlineStr">
        <is>
          <t>0x00</t>
        </is>
      </c>
      <c r="S126" s="178" t="inlineStr">
        <is>
          <t>0x01</t>
        </is>
      </c>
      <c r="T126" s="178" t="inlineStr">
        <is>
          <t>0x00</t>
        </is>
      </c>
      <c r="U126" s="178" t="inlineStr">
        <is>
          <t>0x00</t>
        </is>
      </c>
      <c r="V126" s="178" t="inlineStr">
        <is>
          <t>0x00</t>
        </is>
      </c>
      <c r="W126" s="180">
        <f>"0x"&amp;MID(D126,64,2)</f>
        <v/>
      </c>
      <c r="X126" s="180">
        <f>"0x"&amp;MID(D126,67,2)</f>
        <v/>
      </c>
      <c r="Y126" s="182">
        <f>CONCATENATE(RIGHT(G126,2)," ",RIGHT(H126,2)," ",RIGHT(I126,2)," ",RIGHT(J126,2)," ",RIGHT(K126,2)," ",RIGHT(L126,2)," ",RIGHT(M126,2)," ",RIGHT(N126,2)," ",RIGHT(O126,2)," ",RIGHT(P126,2)," ",RIGHT(Q126,2)," ",RIGHT(R126,2)," ",RIGHT(S126,2)," ",RIGHT(T126,2)," ",RIGHT(U126,2)," ",RIGHT(V126,2)," ",RIGHT(W126,2)," ",RIGHT(X126,2))</f>
        <v/>
      </c>
    </row>
    <row r="127" ht="57" customHeight="1" s="17">
      <c r="A127" s="222" t="n"/>
      <c r="B127" s="160" t="inlineStr">
        <is>
          <t>Electronic Zoom - Coordinate</t>
        </is>
      </c>
      <c r="C127" s="160" t="inlineStr">
        <is>
          <t>Settings - (300,100), 2.1x</t>
        </is>
      </c>
      <c r="D127" s="160" t="inlineStr">
        <is>
          <t>55 43 49 12 00 01 31 51 00 00 15 00 00 2C 01 64 00 00 00 00 00 5B 14</t>
        </is>
      </c>
      <c r="E127" s="161" t="inlineStr">
        <is>
          <t>Zoom centered on a specified point
Para2[1]+Para2[0]: x-axis coordinate
Para2[3]+Para2[2]: y-axis coordinate
Para1[1]: Zoom ratio</t>
        </is>
      </c>
      <c r="F127" s="191" t="n"/>
      <c r="G127" s="192" t="inlineStr">
        <is>
          <t>0x01</t>
        </is>
      </c>
      <c r="H127" s="178" t="inlineStr">
        <is>
          <t>0x31</t>
        </is>
      </c>
      <c r="I127" s="177" t="inlineStr">
        <is>
          <t>0x51</t>
        </is>
      </c>
      <c r="J127" s="178" t="inlineStr">
        <is>
          <t>0x00</t>
        </is>
      </c>
      <c r="K127" s="178" t="inlineStr">
        <is>
          <t>0x00</t>
        </is>
      </c>
      <c r="L127" s="130" t="inlineStr">
        <is>
          <t>0x15</t>
        </is>
      </c>
      <c r="M127" s="178" t="inlineStr">
        <is>
          <t>0x00</t>
        </is>
      </c>
      <c r="N127" s="178" t="inlineStr">
        <is>
          <t>0x00</t>
        </is>
      </c>
      <c r="O127" s="130" t="inlineStr">
        <is>
          <t>0x2C</t>
        </is>
      </c>
      <c r="P127" s="130" t="inlineStr">
        <is>
          <t>0x01</t>
        </is>
      </c>
      <c r="Q127" s="130" t="inlineStr">
        <is>
          <t>0x64</t>
        </is>
      </c>
      <c r="R127" s="130" t="inlineStr">
        <is>
          <t>0x00</t>
        </is>
      </c>
      <c r="S127" s="178" t="inlineStr">
        <is>
          <t>0x00</t>
        </is>
      </c>
      <c r="T127" s="178" t="inlineStr">
        <is>
          <t>0x00</t>
        </is>
      </c>
      <c r="U127" s="178" t="inlineStr">
        <is>
          <t>0x00</t>
        </is>
      </c>
      <c r="V127" s="178" t="inlineStr">
        <is>
          <t>0x00</t>
        </is>
      </c>
      <c r="W127" s="180">
        <f>"0x"&amp;MID(D127,64,2)</f>
        <v/>
      </c>
      <c r="X127" s="180">
        <f>"0x"&amp;MID(D127,67,2)</f>
        <v/>
      </c>
      <c r="Y127" s="182">
        <f>CONCATENATE(RIGHT(G127,2)," ",RIGHT(H127,2)," ",RIGHT(I127,2)," ",RIGHT(J127,2)," ",RIGHT(K127,2)," ",RIGHT(L127,2)," ",RIGHT(M127,2)," ",RIGHT(N127,2)," ",RIGHT(O127,2)," ",RIGHT(P127,2)," ",RIGHT(Q127,2)," ",RIGHT(R127,2)," ",RIGHT(S127,2)," ",RIGHT(T127,2)," ",RIGHT(U127,2)," ",RIGHT(V127,2)," ",RIGHT(W127,2)," ",RIGHT(X127,2))</f>
        <v/>
      </c>
    </row>
    <row r="128" ht="57.75" customHeight="1" s="17">
      <c r="A128" s="227" t="n"/>
      <c r="B128" s="225" t="n"/>
      <c r="C128" s="174" t="inlineStr">
        <is>
          <t>Get</t>
        </is>
      </c>
      <c r="D128" s="174" t="inlineStr">
        <is>
          <t>55 43 49 12 00 01 31 91 00 00 00 00 00 00 00 00 00 05 00 00 00 EB 83</t>
        </is>
      </c>
      <c r="E128" s="168" t="inlineStr">
        <is>
          <t>BE AA 06 00 00 2C 01 64 00 15 52 F7 EB AA:
Indicates that the zoom center coordinates are (0x012C, 0x0064), i.e., (300, 100), and the zoom ratio is 0x15=21, which is 2.1x
Note that this instruction is only used to obtain information about coordinate zoom, and is unrelated to center zoom.</t>
        </is>
      </c>
      <c r="F128" s="191" t="n"/>
      <c r="G128" s="192" t="inlineStr">
        <is>
          <t>0x01</t>
        </is>
      </c>
      <c r="H128" s="178" t="inlineStr">
        <is>
          <t>0x31</t>
        </is>
      </c>
      <c r="I128" s="177" t="inlineStr">
        <is>
          <t>0x91</t>
        </is>
      </c>
      <c r="J128" s="178" t="inlineStr">
        <is>
          <t>0x00</t>
        </is>
      </c>
      <c r="K128" s="178" t="inlineStr">
        <is>
          <t>0x00</t>
        </is>
      </c>
      <c r="L128" s="178" t="inlineStr">
        <is>
          <t>0x00</t>
        </is>
      </c>
      <c r="M128" s="178" t="inlineStr">
        <is>
          <t>0x00</t>
        </is>
      </c>
      <c r="N128" s="178" t="inlineStr">
        <is>
          <t>0x00</t>
        </is>
      </c>
      <c r="O128" s="178" t="inlineStr">
        <is>
          <t>0x00</t>
        </is>
      </c>
      <c r="P128" s="178" t="inlineStr">
        <is>
          <t>0x00</t>
        </is>
      </c>
      <c r="Q128" s="178" t="inlineStr">
        <is>
          <t>0x00</t>
        </is>
      </c>
      <c r="R128" s="178" t="inlineStr">
        <is>
          <t>0x00</t>
        </is>
      </c>
      <c r="S128" s="178" t="inlineStr">
        <is>
          <t>0X05</t>
        </is>
      </c>
      <c r="T128" s="178" t="inlineStr">
        <is>
          <t>0x00</t>
        </is>
      </c>
      <c r="U128" s="178" t="inlineStr">
        <is>
          <t>0x00</t>
        </is>
      </c>
      <c r="V128" s="178" t="inlineStr">
        <is>
          <t>0x00</t>
        </is>
      </c>
      <c r="W128" s="180">
        <f>"0x"&amp;MID(D128,64,2)</f>
        <v/>
      </c>
      <c r="X128" s="180">
        <f>"0x"&amp;MID(D128,67,2)</f>
        <v/>
      </c>
      <c r="Y128" s="182">
        <f>CONCATENATE(RIGHT(G128,2)," ",RIGHT(H128,2)," ",RIGHT(I128,2)," ",RIGHT(J128,2)," ",RIGHT(K128,2)," ",RIGHT(L128,2)," ",RIGHT(M128,2)," ",RIGHT(N128,2)," ",RIGHT(O128,2)," ",RIGHT(P128,2)," ",RIGHT(Q128,2)," ",RIGHT(R128,2)," ",RIGHT(S128,2)," ",RIGHT(T128,2)," ",RIGHT(U128,2)," ",RIGHT(V128,2)," ",RIGHT(W128,2)," ",RIGHT(X128,2))</f>
        <v/>
      </c>
    </row>
    <row r="129" ht="15.75" customHeight="1" s="17">
      <c r="A129" s="175" t="inlineStr">
        <is>
          <t>Image Adjustment Related Instructions</t>
        </is>
      </c>
      <c r="B129" s="186" t="inlineStr">
        <is>
          <t>Scene Mode</t>
        </is>
      </c>
      <c r="C129" s="186" t="inlineStr">
        <is>
          <t>Settings - Low Temperature Highlight</t>
        </is>
      </c>
      <c r="D129" s="186" t="inlineStr">
        <is>
          <t>55 43 49 12 00 10 04 42 00 00 00 00 00 00 00 00 00 00 00 00 00 C5 65</t>
        </is>
      </c>
      <c r="E129" s="187" t="n"/>
      <c r="F129" s="191" t="n"/>
      <c r="G129" s="197" t="inlineStr">
        <is>
          <t>0x10</t>
        </is>
      </c>
      <c r="H129" s="179" t="inlineStr">
        <is>
          <t>0x04</t>
        </is>
      </c>
      <c r="I129" s="179" t="inlineStr">
        <is>
          <t>0x42</t>
        </is>
      </c>
      <c r="J129" s="178" t="inlineStr">
        <is>
          <t>0x00</t>
        </is>
      </c>
      <c r="K129" s="130" t="inlineStr">
        <is>
          <t>0x00</t>
        </is>
      </c>
      <c r="L129" s="178" t="inlineStr">
        <is>
          <t>0x00</t>
        </is>
      </c>
      <c r="M129" s="178" t="inlineStr">
        <is>
          <t>0x00</t>
        </is>
      </c>
      <c r="N129" s="178" t="inlineStr">
        <is>
          <t>0x00</t>
        </is>
      </c>
      <c r="O129" s="178" t="inlineStr">
        <is>
          <t>0x00</t>
        </is>
      </c>
      <c r="P129" s="178" t="inlineStr">
        <is>
          <t>0x00</t>
        </is>
      </c>
      <c r="Q129" s="178" t="inlineStr">
        <is>
          <t>0x00</t>
        </is>
      </c>
      <c r="R129" s="178" t="inlineStr">
        <is>
          <t>0x00</t>
        </is>
      </c>
      <c r="S129" s="178" t="inlineStr">
        <is>
          <t>0x00</t>
        </is>
      </c>
      <c r="T129" s="178" t="inlineStr">
        <is>
          <t>0x00</t>
        </is>
      </c>
      <c r="U129" s="178" t="inlineStr">
        <is>
          <t>0x00</t>
        </is>
      </c>
      <c r="V129" s="178" t="inlineStr">
        <is>
          <t>0x00</t>
        </is>
      </c>
      <c r="W129" s="180">
        <f>"0x"&amp;MID(D129,64,2)</f>
        <v/>
      </c>
      <c r="X129" s="180">
        <f>"0x"&amp;MID(D129,67,2)</f>
        <v/>
      </c>
      <c r="Y129" s="182">
        <f>CONCATENATE(RIGHT(G129,2)," ",RIGHT(H129,2)," ",RIGHT(I129,2)," ",RIGHT(J129,2)," ",RIGHT(K129,2)," ",RIGHT(L129,2)," ",RIGHT(M129,2)," ",RIGHT(N129,2)," ",RIGHT(O129,2)," ",RIGHT(P129,2)," ",RIGHT(Q129,2)," ",RIGHT(R129,2)," ",RIGHT(S129,2)," ",RIGHT(T129,2)," ",RIGHT(U129,2)," ",RIGHT(V129,2)," ",RIGHT(W129,2)," ",RIGHT(X129,2))</f>
        <v/>
      </c>
    </row>
    <row r="130" ht="15.75" customHeight="1" s="17">
      <c r="A130" s="222" t="n"/>
      <c r="B130" s="223" t="n"/>
      <c r="C130" s="160" t="inlineStr">
        <is>
          <t>Settings - Linear Stretch</t>
        </is>
      </c>
      <c r="D130" s="160" t="inlineStr">
        <is>
          <t>55 43 49 12 00 10 04 42 00 01 00 00 00 00 00 00 00 00 00 00 00 B0 66</t>
        </is>
      </c>
      <c r="E130" s="161" t="n"/>
      <c r="F130" s="191" t="n"/>
      <c r="G130" s="197" t="inlineStr">
        <is>
          <t>0x10</t>
        </is>
      </c>
      <c r="H130" s="179" t="inlineStr">
        <is>
          <t>0x04</t>
        </is>
      </c>
      <c r="I130" s="179" t="inlineStr">
        <is>
          <t>0x42</t>
        </is>
      </c>
      <c r="J130" s="178" t="inlineStr">
        <is>
          <t>0x00</t>
        </is>
      </c>
      <c r="K130" s="130" t="inlineStr">
        <is>
          <t>0x01</t>
        </is>
      </c>
      <c r="L130" s="178" t="inlineStr">
        <is>
          <t>0x00</t>
        </is>
      </c>
      <c r="M130" s="178" t="inlineStr">
        <is>
          <t>0x00</t>
        </is>
      </c>
      <c r="N130" s="178" t="inlineStr">
        <is>
          <t>0x00</t>
        </is>
      </c>
      <c r="O130" s="178" t="inlineStr">
        <is>
          <t>0x00</t>
        </is>
      </c>
      <c r="P130" s="178" t="inlineStr">
        <is>
          <t>0x00</t>
        </is>
      </c>
      <c r="Q130" s="178" t="inlineStr">
        <is>
          <t>0x00</t>
        </is>
      </c>
      <c r="R130" s="178" t="inlineStr">
        <is>
          <t>0x00</t>
        </is>
      </c>
      <c r="S130" s="178" t="inlineStr">
        <is>
          <t>0x00</t>
        </is>
      </c>
      <c r="T130" s="178" t="inlineStr">
        <is>
          <t>0x00</t>
        </is>
      </c>
      <c r="U130" s="178" t="inlineStr">
        <is>
          <t>0x00</t>
        </is>
      </c>
      <c r="V130" s="178" t="inlineStr">
        <is>
          <t>0x00</t>
        </is>
      </c>
      <c r="W130" s="180">
        <f>"0x"&amp;MID(D130,64,2)</f>
        <v/>
      </c>
      <c r="X130" s="180">
        <f>"0x"&amp;MID(D130,67,2)</f>
        <v/>
      </c>
      <c r="Y130" s="182">
        <f>CONCATENATE(RIGHT(G130,2)," ",RIGHT(H130,2)," ",RIGHT(I130,2)," ",RIGHT(J130,2)," ",RIGHT(K130,2)," ",RIGHT(L130,2)," ",RIGHT(M130,2)," ",RIGHT(N130,2)," ",RIGHT(O130,2)," ",RIGHT(P130,2)," ",RIGHT(Q130,2)," ",RIGHT(R130,2)," ",RIGHT(S130,2)," ",RIGHT(T130,2)," ",RIGHT(U130,2)," ",RIGHT(V130,2)," ",RIGHT(W130,2)," ",RIGHT(X130,2))</f>
        <v/>
      </c>
    </row>
    <row r="131" ht="15.75" customHeight="1" s="17">
      <c r="A131" s="222" t="n"/>
      <c r="B131" s="223" t="n"/>
      <c r="C131" s="160" t="inlineStr">
        <is>
          <t>Settings - Low Contrast</t>
        </is>
      </c>
      <c r="D131" s="160" t="inlineStr">
        <is>
          <t>55 43 49 12 00 10 04 42 00 02 00 00 00 00 00 00 00 00 00 00 00 2F 63</t>
        </is>
      </c>
      <c r="E131" s="161" t="n"/>
      <c r="F131" s="191" t="n"/>
      <c r="G131" s="197" t="inlineStr">
        <is>
          <t>0x10</t>
        </is>
      </c>
      <c r="H131" s="179" t="inlineStr">
        <is>
          <t>0x04</t>
        </is>
      </c>
      <c r="I131" s="179" t="inlineStr">
        <is>
          <t>0x42</t>
        </is>
      </c>
      <c r="J131" s="178" t="inlineStr">
        <is>
          <t>0x00</t>
        </is>
      </c>
      <c r="K131" s="130" t="inlineStr">
        <is>
          <t>0x02</t>
        </is>
      </c>
      <c r="L131" s="178" t="inlineStr">
        <is>
          <t>0x00</t>
        </is>
      </c>
      <c r="M131" s="178" t="inlineStr">
        <is>
          <t>0x00</t>
        </is>
      </c>
      <c r="N131" s="178" t="inlineStr">
        <is>
          <t>0x00</t>
        </is>
      </c>
      <c r="O131" s="178" t="inlineStr">
        <is>
          <t>0x00</t>
        </is>
      </c>
      <c r="P131" s="178" t="inlineStr">
        <is>
          <t>0x00</t>
        </is>
      </c>
      <c r="Q131" s="178" t="inlineStr">
        <is>
          <t>0x00</t>
        </is>
      </c>
      <c r="R131" s="178" t="inlineStr">
        <is>
          <t>0x00</t>
        </is>
      </c>
      <c r="S131" s="178" t="inlineStr">
        <is>
          <t>0x00</t>
        </is>
      </c>
      <c r="T131" s="178" t="inlineStr">
        <is>
          <t>0x00</t>
        </is>
      </c>
      <c r="U131" s="178" t="inlineStr">
        <is>
          <t>0x00</t>
        </is>
      </c>
      <c r="V131" s="178" t="inlineStr">
        <is>
          <t>0x00</t>
        </is>
      </c>
      <c r="W131" s="180">
        <f>"0x"&amp;MID(D131,64,2)</f>
        <v/>
      </c>
      <c r="X131" s="180">
        <f>"0x"&amp;MID(D131,67,2)</f>
        <v/>
      </c>
      <c r="Y131" s="182">
        <f>CONCATENATE(RIGHT(G131,2)," ",RIGHT(H131,2)," ",RIGHT(I131,2)," ",RIGHT(J131,2)," ",RIGHT(K131,2)," ",RIGHT(L131,2)," ",RIGHT(M131,2)," ",RIGHT(N131,2)," ",RIGHT(O131,2)," ",RIGHT(P131,2)," ",RIGHT(Q131,2)," ",RIGHT(R131,2)," ",RIGHT(S131,2)," ",RIGHT(T131,2)," ",RIGHT(U131,2)," ",RIGHT(V131,2)," ",RIGHT(W131,2)," ",RIGHT(X131,2))</f>
        <v/>
      </c>
    </row>
    <row r="132" ht="15.75" customHeight="1" s="17">
      <c r="A132" s="222" t="n"/>
      <c r="B132" s="223" t="n"/>
      <c r="C132" s="160" t="inlineStr">
        <is>
          <t>Settings - General Mode (Default)</t>
        </is>
      </c>
      <c r="D132" s="160" t="inlineStr">
        <is>
          <t>55 43 49 12 00 10 04 42 00 03 00 00 00 00 00 00 00 00 00 00 00 5A 60</t>
        </is>
      </c>
      <c r="E132" s="161" t="n"/>
      <c r="F132" s="191" t="n"/>
      <c r="G132" s="197" t="inlineStr">
        <is>
          <t>0x10</t>
        </is>
      </c>
      <c r="H132" s="179" t="inlineStr">
        <is>
          <t>0x04</t>
        </is>
      </c>
      <c r="I132" s="179" t="inlineStr">
        <is>
          <t>0x42</t>
        </is>
      </c>
      <c r="J132" s="178" t="inlineStr">
        <is>
          <t>0x00</t>
        </is>
      </c>
      <c r="K132" s="130" t="inlineStr">
        <is>
          <t>0x03</t>
        </is>
      </c>
      <c r="L132" s="178" t="inlineStr">
        <is>
          <t>0x00</t>
        </is>
      </c>
      <c r="M132" s="178" t="inlineStr">
        <is>
          <t>0x00</t>
        </is>
      </c>
      <c r="N132" s="178" t="inlineStr">
        <is>
          <t>0x00</t>
        </is>
      </c>
      <c r="O132" s="178" t="inlineStr">
        <is>
          <t>0x00</t>
        </is>
      </c>
      <c r="P132" s="178" t="inlineStr">
        <is>
          <t>0x00</t>
        </is>
      </c>
      <c r="Q132" s="178" t="inlineStr">
        <is>
          <t>0x00</t>
        </is>
      </c>
      <c r="R132" s="178" t="inlineStr">
        <is>
          <t>0x00</t>
        </is>
      </c>
      <c r="S132" s="178" t="inlineStr">
        <is>
          <t>0x00</t>
        </is>
      </c>
      <c r="T132" s="178" t="inlineStr">
        <is>
          <t>0x00</t>
        </is>
      </c>
      <c r="U132" s="178" t="inlineStr">
        <is>
          <t>0x00</t>
        </is>
      </c>
      <c r="V132" s="178" t="inlineStr">
        <is>
          <t>0x00</t>
        </is>
      </c>
      <c r="W132" s="180">
        <f>"0x"&amp;MID(D132,64,2)</f>
        <v/>
      </c>
      <c r="X132" s="180">
        <f>"0x"&amp;MID(D132,67,2)</f>
        <v/>
      </c>
      <c r="Y132" s="182">
        <f>CONCATENATE(RIGHT(G132,2)," ",RIGHT(H132,2)," ",RIGHT(I132,2)," ",RIGHT(J132,2)," ",RIGHT(K132,2)," ",RIGHT(L132,2)," ",RIGHT(M132,2)," ",RIGHT(N132,2)," ",RIGHT(O132,2)," ",RIGHT(P132,2)," ",RIGHT(Q132,2)," ",RIGHT(R132,2)," ",RIGHT(S132,2)," ",RIGHT(T132,2)," ",RIGHT(U132,2)," ",RIGHT(V132,2)," ",RIGHT(W132,2)," ",RIGHT(X132,2))</f>
        <v/>
      </c>
    </row>
    <row r="133" ht="15.75" customHeight="1" s="17">
      <c r="A133" s="222" t="n"/>
      <c r="B133" s="223" t="n"/>
      <c r="C133" s="160" t="inlineStr">
        <is>
          <t>Settings - High Contrast</t>
        </is>
      </c>
      <c r="D133" s="160" t="inlineStr">
        <is>
          <t>55 43 49 12 00 10 04 42 00 04 00 00 00 00 00 00 00 00 00 00 00 11 68</t>
        </is>
      </c>
      <c r="E133" s="161" t="n"/>
      <c r="F133" s="191" t="n"/>
      <c r="G133" s="197" t="inlineStr">
        <is>
          <t>0x10</t>
        </is>
      </c>
      <c r="H133" s="179" t="inlineStr">
        <is>
          <t>0x04</t>
        </is>
      </c>
      <c r="I133" s="179" t="inlineStr">
        <is>
          <t>0x42</t>
        </is>
      </c>
      <c r="J133" s="178" t="inlineStr">
        <is>
          <t>0x00</t>
        </is>
      </c>
      <c r="K133" s="130" t="inlineStr">
        <is>
          <t>0x04</t>
        </is>
      </c>
      <c r="L133" s="178" t="inlineStr">
        <is>
          <t>0x00</t>
        </is>
      </c>
      <c r="M133" s="178" t="inlineStr">
        <is>
          <t>0x00</t>
        </is>
      </c>
      <c r="N133" s="178" t="inlineStr">
        <is>
          <t>0x00</t>
        </is>
      </c>
      <c r="O133" s="178" t="inlineStr">
        <is>
          <t>0x00</t>
        </is>
      </c>
      <c r="P133" s="178" t="inlineStr">
        <is>
          <t>0x00</t>
        </is>
      </c>
      <c r="Q133" s="178" t="inlineStr">
        <is>
          <t>0x00</t>
        </is>
      </c>
      <c r="R133" s="178" t="inlineStr">
        <is>
          <t>0x00</t>
        </is>
      </c>
      <c r="S133" s="178" t="inlineStr">
        <is>
          <t>0x00</t>
        </is>
      </c>
      <c r="T133" s="178" t="inlineStr">
        <is>
          <t>0x00</t>
        </is>
      </c>
      <c r="U133" s="178" t="inlineStr">
        <is>
          <t>0x00</t>
        </is>
      </c>
      <c r="V133" s="178" t="inlineStr">
        <is>
          <t>0x00</t>
        </is>
      </c>
      <c r="W133" s="180">
        <f>"0x"&amp;MID(D133,64,2)</f>
        <v/>
      </c>
      <c r="X133" s="180">
        <f>"0x"&amp;MID(D133,67,2)</f>
        <v/>
      </c>
      <c r="Y133" s="182">
        <f>CONCATENATE(RIGHT(G133,2)," ",RIGHT(H133,2)," ",RIGHT(I133,2)," ",RIGHT(J133,2)," ",RIGHT(K133,2)," ",RIGHT(L133,2)," ",RIGHT(M133,2)," ",RIGHT(N133,2)," ",RIGHT(O133,2)," ",RIGHT(P133,2)," ",RIGHT(Q133,2)," ",RIGHT(R133,2)," ",RIGHT(S133,2)," ",RIGHT(T133,2)," ",RIGHT(U133,2)," ",RIGHT(V133,2)," ",RIGHT(W133,2)," ",RIGHT(X133,2))</f>
        <v/>
      </c>
    </row>
    <row r="134" ht="15.75" customHeight="1" s="17">
      <c r="A134" s="222" t="n"/>
      <c r="B134" s="223" t="n"/>
      <c r="C134" s="160" t="inlineStr">
        <is>
          <t>Settings - Highlight</t>
        </is>
      </c>
      <c r="D134" s="160" t="inlineStr">
        <is>
          <t>55 43 49 12 00 10 04 42 00 05 00 00 00 00 00 00 00 00 00 00 00 64 6B</t>
        </is>
      </c>
      <c r="E134" s="161" t="n"/>
      <c r="F134" s="191" t="n"/>
      <c r="G134" s="197" t="inlineStr">
        <is>
          <t>0x10</t>
        </is>
      </c>
      <c r="H134" s="179" t="inlineStr">
        <is>
          <t>0x04</t>
        </is>
      </c>
      <c r="I134" s="179" t="inlineStr">
        <is>
          <t>0x42</t>
        </is>
      </c>
      <c r="J134" s="178" t="inlineStr">
        <is>
          <t>0x00</t>
        </is>
      </c>
      <c r="K134" s="130" t="inlineStr">
        <is>
          <t>0x05</t>
        </is>
      </c>
      <c r="L134" s="178" t="inlineStr">
        <is>
          <t>0x00</t>
        </is>
      </c>
      <c r="M134" s="178" t="inlineStr">
        <is>
          <t>0x00</t>
        </is>
      </c>
      <c r="N134" s="178" t="inlineStr">
        <is>
          <t>0x00</t>
        </is>
      </c>
      <c r="O134" s="178" t="inlineStr">
        <is>
          <t>0x00</t>
        </is>
      </c>
      <c r="P134" s="178" t="inlineStr">
        <is>
          <t>0x00</t>
        </is>
      </c>
      <c r="Q134" s="178" t="inlineStr">
        <is>
          <t>0x00</t>
        </is>
      </c>
      <c r="R134" s="178" t="inlineStr">
        <is>
          <t>0x00</t>
        </is>
      </c>
      <c r="S134" s="178" t="inlineStr">
        <is>
          <t>0x00</t>
        </is>
      </c>
      <c r="T134" s="178" t="inlineStr">
        <is>
          <t>0x00</t>
        </is>
      </c>
      <c r="U134" s="178" t="inlineStr">
        <is>
          <t>0x00</t>
        </is>
      </c>
      <c r="V134" s="178" t="inlineStr">
        <is>
          <t>0x00</t>
        </is>
      </c>
      <c r="W134" s="180">
        <f>"0x"&amp;MID(D134,64,2)</f>
        <v/>
      </c>
      <c r="X134" s="180">
        <f>"0x"&amp;MID(D134,67,2)</f>
        <v/>
      </c>
      <c r="Y134" s="182">
        <f>CONCATENATE(RIGHT(G134,2)," ",RIGHT(H134,2)," ",RIGHT(I134,2)," ",RIGHT(J134,2)," ",RIGHT(K134,2)," ",RIGHT(L134,2)," ",RIGHT(M134,2)," ",RIGHT(N134,2)," ",RIGHT(O134,2)," ",RIGHT(P134,2)," ",RIGHT(Q134,2)," ",RIGHT(R134,2)," ",RIGHT(S134,2)," ",RIGHT(T134,2)," ",RIGHT(U134,2)," ",RIGHT(V134,2)," ",RIGHT(W134,2)," ",RIGHT(X134,2))</f>
        <v/>
      </c>
    </row>
    <row r="135" ht="15.75" customHeight="1" s="17">
      <c r="A135" s="222" t="n"/>
      <c r="B135" s="223" t="n"/>
      <c r="C135" s="160" t="inlineStr">
        <is>
          <t>Settings - Reserved 1</t>
        </is>
      </c>
      <c r="D135" s="160" t="inlineStr">
        <is>
          <t>55 43 49 12 00 10 04 42 00 06 00 00 00 00 00 00 00 00 00 00 00 FB 6E</t>
        </is>
      </c>
      <c r="E135" s="161" t="n"/>
      <c r="F135" s="191" t="n"/>
      <c r="G135" s="197" t="inlineStr">
        <is>
          <t>0x10</t>
        </is>
      </c>
      <c r="H135" s="179" t="inlineStr">
        <is>
          <t>0x04</t>
        </is>
      </c>
      <c r="I135" s="179" t="inlineStr">
        <is>
          <t>0x42</t>
        </is>
      </c>
      <c r="J135" s="178" t="inlineStr">
        <is>
          <t>0x00</t>
        </is>
      </c>
      <c r="K135" s="130" t="inlineStr">
        <is>
          <t>0x06</t>
        </is>
      </c>
      <c r="L135" s="178" t="inlineStr">
        <is>
          <t>0x00</t>
        </is>
      </c>
      <c r="M135" s="178" t="inlineStr">
        <is>
          <t>0x00</t>
        </is>
      </c>
      <c r="N135" s="178" t="inlineStr">
        <is>
          <t>0x00</t>
        </is>
      </c>
      <c r="O135" s="178" t="inlineStr">
        <is>
          <t>0x00</t>
        </is>
      </c>
      <c r="P135" s="178" t="inlineStr">
        <is>
          <t>0x00</t>
        </is>
      </c>
      <c r="Q135" s="178" t="inlineStr">
        <is>
          <t>0x00</t>
        </is>
      </c>
      <c r="R135" s="178" t="inlineStr">
        <is>
          <t>0x00</t>
        </is>
      </c>
      <c r="S135" s="178" t="inlineStr">
        <is>
          <t>0x00</t>
        </is>
      </c>
      <c r="T135" s="178" t="inlineStr">
        <is>
          <t>0x00</t>
        </is>
      </c>
      <c r="U135" s="178" t="inlineStr">
        <is>
          <t>0x00</t>
        </is>
      </c>
      <c r="V135" s="178" t="inlineStr">
        <is>
          <t>0x00</t>
        </is>
      </c>
      <c r="W135" s="180">
        <f>"0x"&amp;MID(D135,64,2)</f>
        <v/>
      </c>
      <c r="X135" s="180">
        <f>"0x"&amp;MID(D135,67,2)</f>
        <v/>
      </c>
      <c r="Y135" s="182">
        <f>CONCATENATE(RIGHT(G135,2)," ",RIGHT(H135,2)," ",RIGHT(I135,2)," ",RIGHT(J135,2)," ",RIGHT(K135,2)," ",RIGHT(L135,2)," ",RIGHT(M135,2)," ",RIGHT(N135,2)," ",RIGHT(O135,2)," ",RIGHT(P135,2)," ",RIGHT(Q135,2)," ",RIGHT(R135,2)," ",RIGHT(S135,2)," ",RIGHT(T135,2)," ",RIGHT(U135,2)," ",RIGHT(V135,2)," ",RIGHT(W135,2)," ",RIGHT(X135,2))</f>
        <v/>
      </c>
    </row>
    <row r="136" ht="15.75" customHeight="1" s="17">
      <c r="A136" s="222" t="n"/>
      <c r="B136" s="223" t="n"/>
      <c r="C136" s="160" t="inlineStr">
        <is>
          <t>Settings - Reserved 2</t>
        </is>
      </c>
      <c r="D136" s="160" t="inlineStr">
        <is>
          <t>55 43 49 12 00 10 04 42 00 07 00 00 00 00 00 00 00 00 00 00 00 8E 6D</t>
        </is>
      </c>
      <c r="E136" s="161" t="n"/>
      <c r="F136" s="191" t="n"/>
      <c r="G136" s="197" t="inlineStr">
        <is>
          <t>0x10</t>
        </is>
      </c>
      <c r="H136" s="179" t="inlineStr">
        <is>
          <t>0x04</t>
        </is>
      </c>
      <c r="I136" s="179" t="inlineStr">
        <is>
          <t>0x42</t>
        </is>
      </c>
      <c r="J136" s="178" t="inlineStr">
        <is>
          <t>0x00</t>
        </is>
      </c>
      <c r="K136" s="130" t="inlineStr">
        <is>
          <t>0x07</t>
        </is>
      </c>
      <c r="L136" s="178" t="inlineStr">
        <is>
          <t>0x00</t>
        </is>
      </c>
      <c r="M136" s="178" t="inlineStr">
        <is>
          <t>0x00</t>
        </is>
      </c>
      <c r="N136" s="178" t="inlineStr">
        <is>
          <t>0x00</t>
        </is>
      </c>
      <c r="O136" s="178" t="inlineStr">
        <is>
          <t>0x00</t>
        </is>
      </c>
      <c r="P136" s="178" t="inlineStr">
        <is>
          <t>0x00</t>
        </is>
      </c>
      <c r="Q136" s="178" t="inlineStr">
        <is>
          <t>0x00</t>
        </is>
      </c>
      <c r="R136" s="178" t="inlineStr">
        <is>
          <t>0x00</t>
        </is>
      </c>
      <c r="S136" s="178" t="inlineStr">
        <is>
          <t>0x00</t>
        </is>
      </c>
      <c r="T136" s="178" t="inlineStr">
        <is>
          <t>0x00</t>
        </is>
      </c>
      <c r="U136" s="178" t="inlineStr">
        <is>
          <t>0x00</t>
        </is>
      </c>
      <c r="V136" s="178" t="inlineStr">
        <is>
          <t>0x00</t>
        </is>
      </c>
      <c r="W136" s="180">
        <f>"0x"&amp;MID(D136,64,2)</f>
        <v/>
      </c>
      <c r="X136" s="180">
        <f>"0x"&amp;MID(D136,67,2)</f>
        <v/>
      </c>
      <c r="Y136" s="182">
        <f>CONCATENATE(RIGHT(G136,2)," ",RIGHT(H136,2)," ",RIGHT(I136,2)," ",RIGHT(J136,2)," ",RIGHT(K136,2)," ",RIGHT(L136,2)," ",RIGHT(M136,2)," ",RIGHT(N136,2)," ",RIGHT(O136,2)," ",RIGHT(P136,2)," ",RIGHT(Q136,2)," ",RIGHT(R136,2)," ",RIGHT(S136,2)," ",RIGHT(T136,2)," ",RIGHT(U136,2)," ",RIGHT(V136,2)," ",RIGHT(W136,2)," ",RIGHT(X136,2))</f>
        <v/>
      </c>
    </row>
    <row r="137" ht="15.75" customHeight="1" s="17">
      <c r="A137" s="222" t="n"/>
      <c r="B137" s="223" t="n"/>
      <c r="C137" s="160" t="inlineStr">
        <is>
          <t>Settings - Reserved 3</t>
        </is>
      </c>
      <c r="D137" s="160" t="inlineStr">
        <is>
          <t>55 43 49 12 00 10 04 42 00 08 00 00 00 00 00 00 00 00 00 00 00 6D 7E</t>
        </is>
      </c>
      <c r="E137" s="161" t="n"/>
      <c r="F137" s="191" t="n"/>
      <c r="G137" s="197" t="inlineStr">
        <is>
          <t>0x10</t>
        </is>
      </c>
      <c r="H137" s="179" t="inlineStr">
        <is>
          <t>0x04</t>
        </is>
      </c>
      <c r="I137" s="179" t="inlineStr">
        <is>
          <t>0x42</t>
        </is>
      </c>
      <c r="J137" s="178" t="inlineStr">
        <is>
          <t>0x00</t>
        </is>
      </c>
      <c r="K137" s="130" t="inlineStr">
        <is>
          <t>0x08</t>
        </is>
      </c>
      <c r="L137" s="178" t="inlineStr">
        <is>
          <t>0x00</t>
        </is>
      </c>
      <c r="M137" s="178" t="inlineStr">
        <is>
          <t>0x00</t>
        </is>
      </c>
      <c r="N137" s="178" t="inlineStr">
        <is>
          <t>0x00</t>
        </is>
      </c>
      <c r="O137" s="178" t="inlineStr">
        <is>
          <t>0x00</t>
        </is>
      </c>
      <c r="P137" s="178" t="inlineStr">
        <is>
          <t>0x00</t>
        </is>
      </c>
      <c r="Q137" s="178" t="inlineStr">
        <is>
          <t>0x00</t>
        </is>
      </c>
      <c r="R137" s="178" t="inlineStr">
        <is>
          <t>0x00</t>
        </is>
      </c>
      <c r="S137" s="178" t="inlineStr">
        <is>
          <t>0x00</t>
        </is>
      </c>
      <c r="T137" s="178" t="inlineStr">
        <is>
          <t>0x00</t>
        </is>
      </c>
      <c r="U137" s="178" t="inlineStr">
        <is>
          <t>0x00</t>
        </is>
      </c>
      <c r="V137" s="178" t="inlineStr">
        <is>
          <t>0x00</t>
        </is>
      </c>
      <c r="W137" s="180">
        <f>"0x"&amp;MID(D137,64,2)</f>
        <v/>
      </c>
      <c r="X137" s="180">
        <f>"0x"&amp;MID(D137,67,2)</f>
        <v/>
      </c>
      <c r="Y137" s="182">
        <f>CONCATENATE(RIGHT(G137,2)," ",RIGHT(H137,2)," ",RIGHT(I137,2)," ",RIGHT(J137,2)," ",RIGHT(K137,2)," ",RIGHT(L137,2)," ",RIGHT(M137,2)," ",RIGHT(N137,2)," ",RIGHT(O137,2)," ",RIGHT(P137,2)," ",RIGHT(Q137,2)," ",RIGHT(R137,2)," ",RIGHT(S137,2)," ",RIGHT(T137,2)," ",RIGHT(U137,2)," ",RIGHT(V137,2)," ",RIGHT(W137,2)," ",RIGHT(X137,2))</f>
        <v/>
      </c>
    </row>
    <row r="138" ht="15.75" customHeight="1" s="17">
      <c r="A138" s="222" t="n"/>
      <c r="B138" s="223" t="n"/>
      <c r="C138" s="160" t="inlineStr">
        <is>
          <t>Settings - Outline Mode</t>
        </is>
      </c>
      <c r="D138" s="160" t="inlineStr">
        <is>
          <t>55 43 49 12 00 10 04 42 00 09 00 00 00 00 00 00 00 00 00 00 00 18 7D</t>
        </is>
      </c>
      <c r="E138" s="161" t="n"/>
      <c r="F138" s="191" t="n"/>
      <c r="G138" s="197" t="inlineStr">
        <is>
          <t>0x10</t>
        </is>
      </c>
      <c r="H138" s="179" t="inlineStr">
        <is>
          <t>0x04</t>
        </is>
      </c>
      <c r="I138" s="179" t="inlineStr">
        <is>
          <t>0x42</t>
        </is>
      </c>
      <c r="J138" s="178" t="inlineStr">
        <is>
          <t>0x00</t>
        </is>
      </c>
      <c r="K138" s="130" t="inlineStr">
        <is>
          <t>0x09</t>
        </is>
      </c>
      <c r="L138" s="178" t="inlineStr">
        <is>
          <t>0x00</t>
        </is>
      </c>
      <c r="M138" s="178" t="inlineStr">
        <is>
          <t>0x00</t>
        </is>
      </c>
      <c r="N138" s="178" t="inlineStr">
        <is>
          <t>0x00</t>
        </is>
      </c>
      <c r="O138" s="178" t="inlineStr">
        <is>
          <t>0x00</t>
        </is>
      </c>
      <c r="P138" s="178" t="inlineStr">
        <is>
          <t>0x00</t>
        </is>
      </c>
      <c r="Q138" s="178" t="inlineStr">
        <is>
          <t>0x00</t>
        </is>
      </c>
      <c r="R138" s="178" t="inlineStr">
        <is>
          <t>0x00</t>
        </is>
      </c>
      <c r="S138" s="178" t="inlineStr">
        <is>
          <t>0x00</t>
        </is>
      </c>
      <c r="T138" s="178" t="inlineStr">
        <is>
          <t>0x00</t>
        </is>
      </c>
      <c r="U138" s="178" t="inlineStr">
        <is>
          <t>0x00</t>
        </is>
      </c>
      <c r="V138" s="178" t="inlineStr">
        <is>
          <t>0x00</t>
        </is>
      </c>
      <c r="W138" s="180">
        <f>"0x"&amp;MID(D138,64,2)</f>
        <v/>
      </c>
      <c r="X138" s="180">
        <f>"0x"&amp;MID(D138,67,2)</f>
        <v/>
      </c>
      <c r="Y138" s="182">
        <f>CONCATENATE(RIGHT(G138,2)," ",RIGHT(H138,2)," ",RIGHT(I138,2)," ",RIGHT(J138,2)," ",RIGHT(K138,2)," ",RIGHT(L138,2)," ",RIGHT(M138,2)," ",RIGHT(N138,2)," ",RIGHT(O138,2)," ",RIGHT(P138,2)," ",RIGHT(Q138,2)," ",RIGHT(R138,2)," ",RIGHT(S138,2)," ",RIGHT(T138,2)," ",RIGHT(U138,2)," ",RIGHT(V138,2)," ",RIGHT(W138,2)," ",RIGHT(X138,2))</f>
        <v/>
      </c>
    </row>
    <row r="139">
      <c r="A139" s="222" t="n"/>
      <c r="B139" s="225" t="n"/>
      <c r="C139" s="160" t="inlineStr">
        <is>
          <t>Get</t>
        </is>
      </c>
      <c r="D139" s="160" t="inlineStr">
        <is>
          <t>55 43 49 12 00 10 04 89 00 01 00 00 00 00 00 00 00 01 00 00 00 0D 0A</t>
        </is>
      </c>
      <c r="E139" s="161" t="n"/>
      <c r="F139" s="191" t="n"/>
      <c r="G139" s="192" t="inlineStr">
        <is>
          <t>0x10</t>
        </is>
      </c>
      <c r="H139" s="178" t="inlineStr">
        <is>
          <t>0x04</t>
        </is>
      </c>
      <c r="I139" s="178" t="inlineStr">
        <is>
          <t>0x89</t>
        </is>
      </c>
      <c r="J139" s="178" t="inlineStr">
        <is>
          <t>0x00</t>
        </is>
      </c>
      <c r="K139" s="130" t="inlineStr">
        <is>
          <t>0x01</t>
        </is>
      </c>
      <c r="L139" s="178" t="inlineStr">
        <is>
          <t>0x00</t>
        </is>
      </c>
      <c r="M139" s="178" t="inlineStr">
        <is>
          <t>0x00</t>
        </is>
      </c>
      <c r="N139" s="178" t="inlineStr">
        <is>
          <t>0x00</t>
        </is>
      </c>
      <c r="O139" s="178" t="inlineStr">
        <is>
          <t>0x00</t>
        </is>
      </c>
      <c r="P139" s="178" t="inlineStr">
        <is>
          <t>0x00</t>
        </is>
      </c>
      <c r="Q139" s="178" t="inlineStr">
        <is>
          <t>0x00</t>
        </is>
      </c>
      <c r="R139" s="178" t="inlineStr">
        <is>
          <t>0x00</t>
        </is>
      </c>
      <c r="S139" s="178" t="inlineStr">
        <is>
          <t>0x01</t>
        </is>
      </c>
      <c r="T139" s="178" t="inlineStr">
        <is>
          <t>0x00</t>
        </is>
      </c>
      <c r="U139" s="178" t="inlineStr">
        <is>
          <t>0x00</t>
        </is>
      </c>
      <c r="V139" s="178" t="inlineStr">
        <is>
          <t>0x00</t>
        </is>
      </c>
      <c r="W139" s="180">
        <f>"0x"&amp;MID(D139,64,2)</f>
        <v/>
      </c>
      <c r="X139" s="180">
        <f>"0x"&amp;MID(D139,67,2)</f>
        <v/>
      </c>
      <c r="Y139" s="182">
        <f>CONCATENATE(RIGHT(G139,2)," ",RIGHT(H139,2)," ",RIGHT(I139,2)," ",RIGHT(J139,2)," ",RIGHT(K139,2)," ",RIGHT(L139,2)," ",RIGHT(M139,2)," ",RIGHT(N139,2)," ",RIGHT(O139,2)," ",RIGHT(P139,2)," ",RIGHT(Q139,2)," ",RIGHT(R139,2)," ",RIGHT(S139,2)," ",RIGHT(T139,2)," ",RIGHT(U139,2)," ",RIGHT(V139,2)," ",RIGHT(W139,2)," ",RIGHT(X139,2))</f>
        <v/>
      </c>
    </row>
    <row r="140" ht="15.75" customHeight="1" s="17">
      <c r="A140" s="222" t="n"/>
      <c r="B140" s="160" t="inlineStr">
        <is>
          <t>Pseudo Color</t>
        </is>
      </c>
      <c r="C140" s="160" t="inlineStr">
        <is>
          <t>Settings - White Hot</t>
        </is>
      </c>
      <c r="D140" s="160" t="inlineStr">
        <is>
          <t>55 43 49 12 00 10 03 45 00 00 00 00 00 00 00 00 00 00 00 00 00 54 6D</t>
        </is>
      </c>
      <c r="E140" s="161" t="n"/>
      <c r="F140" s="191" t="n"/>
      <c r="G140" s="198" t="inlineStr">
        <is>
          <t>0x10</t>
        </is>
      </c>
      <c r="H140" s="199" t="inlineStr">
        <is>
          <t>0x03</t>
        </is>
      </c>
      <c r="I140" s="199" t="inlineStr">
        <is>
          <t>0x45</t>
        </is>
      </c>
      <c r="J140" s="178" t="inlineStr">
        <is>
          <t>0x00</t>
        </is>
      </c>
      <c r="K140" s="178" t="inlineStr">
        <is>
          <t>0x00</t>
        </is>
      </c>
      <c r="L140" s="130" t="inlineStr">
        <is>
          <t>0x00</t>
        </is>
      </c>
      <c r="M140" s="178" t="inlineStr">
        <is>
          <t>0x00</t>
        </is>
      </c>
      <c r="N140" s="178" t="inlineStr">
        <is>
          <t>0x00</t>
        </is>
      </c>
      <c r="O140" s="178" t="inlineStr">
        <is>
          <t>0x00</t>
        </is>
      </c>
      <c r="P140" s="178" t="inlineStr">
        <is>
          <t>0x00</t>
        </is>
      </c>
      <c r="Q140" s="178" t="inlineStr">
        <is>
          <t>0x00</t>
        </is>
      </c>
      <c r="R140" s="178" t="inlineStr">
        <is>
          <t>0x00</t>
        </is>
      </c>
      <c r="S140" s="178" t="inlineStr">
        <is>
          <t>0x00</t>
        </is>
      </c>
      <c r="T140" s="178" t="inlineStr">
        <is>
          <t>0x00</t>
        </is>
      </c>
      <c r="U140" s="178" t="inlineStr">
        <is>
          <t>0x00</t>
        </is>
      </c>
      <c r="V140" s="178" t="inlineStr">
        <is>
          <t>0x00</t>
        </is>
      </c>
      <c r="W140" s="180">
        <f>"0x"&amp;MID(D140,64,2)</f>
        <v/>
      </c>
      <c r="X140" s="180">
        <f>"0x"&amp;MID(D140,67,2)</f>
        <v/>
      </c>
      <c r="Y140" s="182">
        <f>CONCATENATE(RIGHT(G140,2)," ",RIGHT(H140,2)," ",RIGHT(I140,2)," ",RIGHT(J140,2)," ",RIGHT(K140,2)," ",RIGHT(L140,2)," ",RIGHT(M140,2)," ",RIGHT(N140,2)," ",RIGHT(O140,2)," ",RIGHT(P140,2)," ",RIGHT(Q140,2)," ",RIGHT(R140,2)," ",RIGHT(S140,2)," ",RIGHT(T140,2)," ",RIGHT(U140,2)," ",RIGHT(V140,2)," ",RIGHT(W140,2)," ",RIGHT(X140,2))</f>
        <v/>
      </c>
    </row>
    <row r="141" ht="15.75" customHeight="1" s="17">
      <c r="A141" s="222" t="n"/>
      <c r="B141" s="223" t="n"/>
      <c r="C141" s="160" t="inlineStr">
        <is>
          <t>Settings - Reserved</t>
        </is>
      </c>
      <c r="D141" s="160" t="inlineStr">
        <is>
          <t>55 43 49 12 00 10 03 45 00 00 01 00 00 00 00 00 00 00 00 00 00 1D B5</t>
        </is>
      </c>
      <c r="E141" s="161" t="n"/>
      <c r="F141" s="191" t="n"/>
      <c r="G141" s="198" t="inlineStr">
        <is>
          <t>0x10</t>
        </is>
      </c>
      <c r="H141" s="199" t="inlineStr">
        <is>
          <t>0x03</t>
        </is>
      </c>
      <c r="I141" s="199" t="inlineStr">
        <is>
          <t>0x45</t>
        </is>
      </c>
      <c r="J141" s="178" t="inlineStr">
        <is>
          <t>0x00</t>
        </is>
      </c>
      <c r="K141" s="178" t="inlineStr">
        <is>
          <t>0x00</t>
        </is>
      </c>
      <c r="L141" s="130" t="inlineStr">
        <is>
          <t>0x01</t>
        </is>
      </c>
      <c r="M141" s="178" t="inlineStr">
        <is>
          <t>0x00</t>
        </is>
      </c>
      <c r="N141" s="178" t="inlineStr">
        <is>
          <t>0x00</t>
        </is>
      </c>
      <c r="O141" s="178" t="inlineStr">
        <is>
          <t>0x00</t>
        </is>
      </c>
      <c r="P141" s="178" t="inlineStr">
        <is>
          <t>0x00</t>
        </is>
      </c>
      <c r="Q141" s="178" t="inlineStr">
        <is>
          <t>0x00</t>
        </is>
      </c>
      <c r="R141" s="178" t="inlineStr">
        <is>
          <t>0x00</t>
        </is>
      </c>
      <c r="S141" s="178" t="inlineStr">
        <is>
          <t>0x00</t>
        </is>
      </c>
      <c r="T141" s="178" t="inlineStr">
        <is>
          <t>0x00</t>
        </is>
      </c>
      <c r="U141" s="178" t="inlineStr">
        <is>
          <t>0x00</t>
        </is>
      </c>
      <c r="V141" s="178" t="inlineStr">
        <is>
          <t>0x00</t>
        </is>
      </c>
      <c r="W141" s="180">
        <f>"0x"&amp;MID(D141,64,2)</f>
        <v/>
      </c>
      <c r="X141" s="180">
        <f>"0x"&amp;MID(D141,67,2)</f>
        <v/>
      </c>
      <c r="Y141" s="182">
        <f>CONCATENATE(RIGHT(G141,2)," ",RIGHT(H141,2)," ",RIGHT(I141,2)," ",RIGHT(J141,2)," ",RIGHT(K141,2)," ",RIGHT(L141,2)," ",RIGHT(M141,2)," ",RIGHT(N141,2)," ",RIGHT(O141,2)," ",RIGHT(P141,2)," ",RIGHT(Q141,2)," ",RIGHT(R141,2)," ",RIGHT(S141,2)," ",RIGHT(T141,2)," ",RIGHT(U141,2)," ",RIGHT(V141,2)," ",RIGHT(W141,2)," ",RIGHT(X141,2))</f>
        <v/>
      </c>
    </row>
    <row r="142" ht="15.75" customHeight="1" s="17">
      <c r="A142" s="222" t="n"/>
      <c r="B142" s="223" t="n"/>
      <c r="C142" s="160" t="inlineStr">
        <is>
          <t>Settings - Sepia</t>
        </is>
      </c>
      <c r="D142" s="160" t="inlineStr">
        <is>
          <t>55 43 49 12 00 10 03 45 00 00 02 00 00 00 00 00 00 00 00 00 00 E7 CD</t>
        </is>
      </c>
      <c r="E142" s="161" t="n"/>
      <c r="F142" s="191" t="n"/>
      <c r="G142" s="198" t="inlineStr">
        <is>
          <t>0x10</t>
        </is>
      </c>
      <c r="H142" s="199" t="inlineStr">
        <is>
          <t>0x03</t>
        </is>
      </c>
      <c r="I142" s="199" t="inlineStr">
        <is>
          <t>0x45</t>
        </is>
      </c>
      <c r="J142" s="178" t="inlineStr">
        <is>
          <t>0x00</t>
        </is>
      </c>
      <c r="K142" s="178" t="inlineStr">
        <is>
          <t>0x00</t>
        </is>
      </c>
      <c r="L142" s="130" t="inlineStr">
        <is>
          <t>0x02</t>
        </is>
      </c>
      <c r="M142" s="178" t="inlineStr">
        <is>
          <t>0x00</t>
        </is>
      </c>
      <c r="N142" s="178" t="inlineStr">
        <is>
          <t>0x00</t>
        </is>
      </c>
      <c r="O142" s="178" t="inlineStr">
        <is>
          <t>0x00</t>
        </is>
      </c>
      <c r="P142" s="178" t="inlineStr">
        <is>
          <t>0x00</t>
        </is>
      </c>
      <c r="Q142" s="178" t="inlineStr">
        <is>
          <t>0x00</t>
        </is>
      </c>
      <c r="R142" s="178" t="inlineStr">
        <is>
          <t>0x00</t>
        </is>
      </c>
      <c r="S142" s="178" t="inlineStr">
        <is>
          <t>0x00</t>
        </is>
      </c>
      <c r="T142" s="178" t="inlineStr">
        <is>
          <t>0x00</t>
        </is>
      </c>
      <c r="U142" s="178" t="inlineStr">
        <is>
          <t>0x00</t>
        </is>
      </c>
      <c r="V142" s="178" t="inlineStr">
        <is>
          <t>0x00</t>
        </is>
      </c>
      <c r="W142" s="180">
        <f>"0x"&amp;MID(D142,64,2)</f>
        <v/>
      </c>
      <c r="X142" s="180">
        <f>"0x"&amp;MID(D142,67,2)</f>
        <v/>
      </c>
      <c r="Y142" s="182">
        <f>CONCATENATE(RIGHT(G142,2)," ",RIGHT(H142,2)," ",RIGHT(I142,2)," ",RIGHT(J142,2)," ",RIGHT(K142,2)," ",RIGHT(L142,2)," ",RIGHT(M142,2)," ",RIGHT(N142,2)," ",RIGHT(O142,2)," ",RIGHT(P142,2)," ",RIGHT(Q142,2)," ",RIGHT(R142,2)," ",RIGHT(S142,2)," ",RIGHT(T142,2)," ",RIGHT(U142,2)," ",RIGHT(V142,2)," ",RIGHT(W142,2)," ",RIGHT(X142,2))</f>
        <v/>
      </c>
    </row>
    <row r="143" ht="15.75" customHeight="1" s="17">
      <c r="A143" s="222" t="n"/>
      <c r="B143" s="223" t="n"/>
      <c r="C143" s="160" t="inlineStr">
        <is>
          <t>Settings - Ironbow</t>
        </is>
      </c>
      <c r="D143" s="160" t="inlineStr">
        <is>
          <t>55 43 49 12 00 10 03 45 00 00 03 00 00 00 00 00 00 00 00 00 00 AE 15</t>
        </is>
      </c>
      <c r="E143" s="161" t="n"/>
      <c r="F143" s="191" t="n"/>
      <c r="G143" s="198" t="inlineStr">
        <is>
          <t>0x10</t>
        </is>
      </c>
      <c r="H143" s="199" t="inlineStr">
        <is>
          <t>0x03</t>
        </is>
      </c>
      <c r="I143" s="199" t="inlineStr">
        <is>
          <t>0x45</t>
        </is>
      </c>
      <c r="J143" s="178" t="inlineStr">
        <is>
          <t>0x00</t>
        </is>
      </c>
      <c r="K143" s="178" t="inlineStr">
        <is>
          <t>0x00</t>
        </is>
      </c>
      <c r="L143" s="130" t="inlineStr">
        <is>
          <t>0x03</t>
        </is>
      </c>
      <c r="M143" s="178" t="inlineStr">
        <is>
          <t>0x00</t>
        </is>
      </c>
      <c r="N143" s="178" t="inlineStr">
        <is>
          <t>0x00</t>
        </is>
      </c>
      <c r="O143" s="178" t="inlineStr">
        <is>
          <t>0x00</t>
        </is>
      </c>
      <c r="P143" s="178" t="inlineStr">
        <is>
          <t>0x00</t>
        </is>
      </c>
      <c r="Q143" s="178" t="inlineStr">
        <is>
          <t>0x00</t>
        </is>
      </c>
      <c r="R143" s="178" t="inlineStr">
        <is>
          <t>0x00</t>
        </is>
      </c>
      <c r="S143" s="178" t="inlineStr">
        <is>
          <t>0x00</t>
        </is>
      </c>
      <c r="T143" s="178" t="inlineStr">
        <is>
          <t>0x00</t>
        </is>
      </c>
      <c r="U143" s="178" t="inlineStr">
        <is>
          <t>0x00</t>
        </is>
      </c>
      <c r="V143" s="178" t="inlineStr">
        <is>
          <t>0x00</t>
        </is>
      </c>
      <c r="W143" s="180">
        <f>"0x"&amp;MID(D143,64,2)</f>
        <v/>
      </c>
      <c r="X143" s="180">
        <f>"0x"&amp;MID(D143,67,2)</f>
        <v/>
      </c>
      <c r="Y143" s="182">
        <f>CONCATENATE(RIGHT(G143,2)," ",RIGHT(H143,2)," ",RIGHT(I143,2)," ",RIGHT(J143,2)," ",RIGHT(K143,2)," ",RIGHT(L143,2)," ",RIGHT(M143,2)," ",RIGHT(N143,2)," ",RIGHT(O143,2)," ",RIGHT(P143,2)," ",RIGHT(Q143,2)," ",RIGHT(R143,2)," ",RIGHT(S143,2)," ",RIGHT(T143,2)," ",RIGHT(U143,2)," ",RIGHT(V143,2)," ",RIGHT(W143,2)," ",RIGHT(X143,2))</f>
        <v/>
      </c>
    </row>
    <row r="144" ht="15.75" customHeight="1" s="17">
      <c r="A144" s="222" t="n"/>
      <c r="B144" s="223" t="n"/>
      <c r="C144" s="160" t="inlineStr">
        <is>
          <t>Settings - Rainbow</t>
        </is>
      </c>
      <c r="D144" s="160" t="inlineStr">
        <is>
          <t>55 43 49 12 00 10 03 45 00 00 04 00 00 00 00 00 00 00 00 00 00 13 3C</t>
        </is>
      </c>
      <c r="E144" s="161" t="n"/>
      <c r="F144" s="191" t="n"/>
      <c r="G144" s="198" t="inlineStr">
        <is>
          <t>0x10</t>
        </is>
      </c>
      <c r="H144" s="199" t="inlineStr">
        <is>
          <t>0x03</t>
        </is>
      </c>
      <c r="I144" s="199" t="inlineStr">
        <is>
          <t>0x45</t>
        </is>
      </c>
      <c r="J144" s="178" t="inlineStr">
        <is>
          <t>0x00</t>
        </is>
      </c>
      <c r="K144" s="178" t="inlineStr">
        <is>
          <t>0x00</t>
        </is>
      </c>
      <c r="L144" s="130" t="inlineStr">
        <is>
          <t>0x04</t>
        </is>
      </c>
      <c r="M144" s="178" t="inlineStr">
        <is>
          <t>0x00</t>
        </is>
      </c>
      <c r="N144" s="178" t="inlineStr">
        <is>
          <t>0x00</t>
        </is>
      </c>
      <c r="O144" s="178" t="inlineStr">
        <is>
          <t>0x00</t>
        </is>
      </c>
      <c r="P144" s="178" t="inlineStr">
        <is>
          <t>0x00</t>
        </is>
      </c>
      <c r="Q144" s="178" t="inlineStr">
        <is>
          <t>0x00</t>
        </is>
      </c>
      <c r="R144" s="178" t="inlineStr">
        <is>
          <t>0x00</t>
        </is>
      </c>
      <c r="S144" s="178" t="inlineStr">
        <is>
          <t>0x00</t>
        </is>
      </c>
      <c r="T144" s="178" t="inlineStr">
        <is>
          <t>0x00</t>
        </is>
      </c>
      <c r="U144" s="178" t="inlineStr">
        <is>
          <t>0x00</t>
        </is>
      </c>
      <c r="V144" s="178" t="inlineStr">
        <is>
          <t>0x00</t>
        </is>
      </c>
      <c r="W144" s="180">
        <f>"0x"&amp;MID(D144,64,2)</f>
        <v/>
      </c>
      <c r="X144" s="180">
        <f>"0x"&amp;MID(D144,67,2)</f>
        <v/>
      </c>
      <c r="Y144" s="182">
        <f>CONCATENATE(RIGHT(G144,2)," ",RIGHT(H144,2)," ",RIGHT(I144,2)," ",RIGHT(J144,2)," ",RIGHT(K144,2)," ",RIGHT(L144,2)," ",RIGHT(M144,2)," ",RIGHT(N144,2)," ",RIGHT(O144,2)," ",RIGHT(P144,2)," ",RIGHT(Q144,2)," ",RIGHT(R144,2)," ",RIGHT(S144,2)," ",RIGHT(T144,2)," ",RIGHT(U144,2)," ",RIGHT(V144,2)," ",RIGHT(W144,2)," ",RIGHT(X144,2))</f>
        <v/>
      </c>
    </row>
    <row r="145" ht="15.75" customHeight="1" s="17">
      <c r="A145" s="222" t="n"/>
      <c r="B145" s="223" t="n"/>
      <c r="C145" s="160" t="inlineStr">
        <is>
          <t>Settings - Night</t>
        </is>
      </c>
      <c r="D145" s="160" t="inlineStr">
        <is>
          <t>55 43 49 12 00 10 03 45 00 00 05 00 00 00 00 00 00 00 00 00 00 5A E4</t>
        </is>
      </c>
      <c r="E145" s="161" t="n"/>
      <c r="F145" s="191" t="n"/>
      <c r="G145" s="198" t="inlineStr">
        <is>
          <t>0x10</t>
        </is>
      </c>
      <c r="H145" s="199" t="inlineStr">
        <is>
          <t>0x03</t>
        </is>
      </c>
      <c r="I145" s="199" t="inlineStr">
        <is>
          <t>0x45</t>
        </is>
      </c>
      <c r="J145" s="178" t="inlineStr">
        <is>
          <t>0x00</t>
        </is>
      </c>
      <c r="K145" s="178" t="inlineStr">
        <is>
          <t>0x00</t>
        </is>
      </c>
      <c r="L145" s="130" t="inlineStr">
        <is>
          <t>0x05</t>
        </is>
      </c>
      <c r="M145" s="178" t="inlineStr">
        <is>
          <t>0x00</t>
        </is>
      </c>
      <c r="N145" s="178" t="inlineStr">
        <is>
          <t>0x00</t>
        </is>
      </c>
      <c r="O145" s="178" t="inlineStr">
        <is>
          <t>0x00</t>
        </is>
      </c>
      <c r="P145" s="178" t="inlineStr">
        <is>
          <t>0x00</t>
        </is>
      </c>
      <c r="Q145" s="178" t="inlineStr">
        <is>
          <t>0x00</t>
        </is>
      </c>
      <c r="R145" s="178" t="inlineStr">
        <is>
          <t>0x00</t>
        </is>
      </c>
      <c r="S145" s="178" t="inlineStr">
        <is>
          <t>0x00</t>
        </is>
      </c>
      <c r="T145" s="178" t="inlineStr">
        <is>
          <t>0x00</t>
        </is>
      </c>
      <c r="U145" s="178" t="inlineStr">
        <is>
          <t>0x00</t>
        </is>
      </c>
      <c r="V145" s="178" t="inlineStr">
        <is>
          <t>0x00</t>
        </is>
      </c>
      <c r="W145" s="180">
        <f>"0x"&amp;MID(D145,64,2)</f>
        <v/>
      </c>
      <c r="X145" s="180">
        <f>"0x"&amp;MID(D145,67,2)</f>
        <v/>
      </c>
      <c r="Y145" s="182">
        <f>CONCATENATE(RIGHT(G145,2)," ",RIGHT(H145,2)," ",RIGHT(I145,2)," ",RIGHT(J145,2)," ",RIGHT(K145,2)," ",RIGHT(L145,2)," ",RIGHT(M145,2)," ",RIGHT(N145,2)," ",RIGHT(O145,2)," ",RIGHT(P145,2)," ",RIGHT(Q145,2)," ",RIGHT(R145,2)," ",RIGHT(S145,2)," ",RIGHT(T145,2)," ",RIGHT(U145,2)," ",RIGHT(V145,2)," ",RIGHT(W145,2)," ",RIGHT(X145,2))</f>
        <v/>
      </c>
    </row>
    <row r="146" ht="15.75" customHeight="1" s="17">
      <c r="A146" s="222" t="n"/>
      <c r="B146" s="223" t="n"/>
      <c r="C146" s="160" t="inlineStr">
        <is>
          <t>Settings - Aurora</t>
        </is>
      </c>
      <c r="D146" s="160" t="inlineStr">
        <is>
          <t>55 43 49 12 00 10 03 45 00 00 06 00 00 00 00 00 00 00 00 00 00 A0 9C</t>
        </is>
      </c>
      <c r="E146" s="161" t="n"/>
      <c r="F146" s="191" t="n"/>
      <c r="G146" s="198" t="inlineStr">
        <is>
          <t>0x10</t>
        </is>
      </c>
      <c r="H146" s="199" t="inlineStr">
        <is>
          <t>0x03</t>
        </is>
      </c>
      <c r="I146" s="199" t="inlineStr">
        <is>
          <t>0x45</t>
        </is>
      </c>
      <c r="J146" s="178" t="inlineStr">
        <is>
          <t>0x00</t>
        </is>
      </c>
      <c r="K146" s="178" t="inlineStr">
        <is>
          <t>0x00</t>
        </is>
      </c>
      <c r="L146" s="130" t="inlineStr">
        <is>
          <t>0x06</t>
        </is>
      </c>
      <c r="M146" s="178" t="inlineStr">
        <is>
          <t>0x00</t>
        </is>
      </c>
      <c r="N146" s="178" t="inlineStr">
        <is>
          <t>0x00</t>
        </is>
      </c>
      <c r="O146" s="178" t="inlineStr">
        <is>
          <t>0x00</t>
        </is>
      </c>
      <c r="P146" s="178" t="inlineStr">
        <is>
          <t>0x00</t>
        </is>
      </c>
      <c r="Q146" s="178" t="inlineStr">
        <is>
          <t>0x00</t>
        </is>
      </c>
      <c r="R146" s="178" t="inlineStr">
        <is>
          <t>0x00</t>
        </is>
      </c>
      <c r="S146" s="178" t="inlineStr">
        <is>
          <t>0x00</t>
        </is>
      </c>
      <c r="T146" s="178" t="inlineStr">
        <is>
          <t>0x00</t>
        </is>
      </c>
      <c r="U146" s="178" t="inlineStr">
        <is>
          <t>0x00</t>
        </is>
      </c>
      <c r="V146" s="178" t="inlineStr">
        <is>
          <t>0x00</t>
        </is>
      </c>
      <c r="W146" s="180">
        <f>"0x"&amp;MID(D146,64,2)</f>
        <v/>
      </c>
      <c r="X146" s="180">
        <f>"0x"&amp;MID(D146,67,2)</f>
        <v/>
      </c>
      <c r="Y146" s="182">
        <f>CONCATENATE(RIGHT(G146,2)," ",RIGHT(H146,2)," ",RIGHT(I146,2)," ",RIGHT(J146,2)," ",RIGHT(K146,2)," ",RIGHT(L146,2)," ",RIGHT(M146,2)," ",RIGHT(N146,2)," ",RIGHT(O146,2)," ",RIGHT(P146,2)," ",RIGHT(Q146,2)," ",RIGHT(R146,2)," ",RIGHT(S146,2)," ",RIGHT(T146,2)," ",RIGHT(U146,2)," ",RIGHT(V146,2)," ",RIGHT(W146,2)," ",RIGHT(X146,2))</f>
        <v/>
      </c>
    </row>
    <row r="147" ht="15.75" customHeight="1" s="17">
      <c r="A147" s="222" t="n"/>
      <c r="B147" s="223" t="n"/>
      <c r="C147" s="160" t="inlineStr">
        <is>
          <t>Settings - Red Hot</t>
        </is>
      </c>
      <c r="D147" s="160" t="inlineStr">
        <is>
          <t>55 43 49 12 00 10 03 45 00 00 07 00 00 00 00 00 00 00 00 00 00 E9 44</t>
        </is>
      </c>
      <c r="E147" s="161" t="n"/>
      <c r="F147" s="191" t="n"/>
      <c r="G147" s="198" t="inlineStr">
        <is>
          <t>0x10</t>
        </is>
      </c>
      <c r="H147" s="199" t="inlineStr">
        <is>
          <t>0x03</t>
        </is>
      </c>
      <c r="I147" s="199" t="inlineStr">
        <is>
          <t>0x45</t>
        </is>
      </c>
      <c r="J147" s="178" t="inlineStr">
        <is>
          <t>0x00</t>
        </is>
      </c>
      <c r="K147" s="178" t="inlineStr">
        <is>
          <t>0x00</t>
        </is>
      </c>
      <c r="L147" s="178" t="inlineStr">
        <is>
          <t>0x07</t>
        </is>
      </c>
      <c r="M147" s="178" t="inlineStr">
        <is>
          <t>0x00</t>
        </is>
      </c>
      <c r="N147" s="178" t="inlineStr">
        <is>
          <t>0x00</t>
        </is>
      </c>
      <c r="O147" s="178" t="inlineStr">
        <is>
          <t>0x00</t>
        </is>
      </c>
      <c r="P147" s="178" t="inlineStr">
        <is>
          <t>0x00</t>
        </is>
      </c>
      <c r="Q147" s="178" t="inlineStr">
        <is>
          <t>0x00</t>
        </is>
      </c>
      <c r="R147" s="178" t="inlineStr">
        <is>
          <t>0x00</t>
        </is>
      </c>
      <c r="S147" s="178" t="inlineStr">
        <is>
          <t>0x00</t>
        </is>
      </c>
      <c r="T147" s="178" t="inlineStr">
        <is>
          <t>0x00</t>
        </is>
      </c>
      <c r="U147" s="178" t="inlineStr">
        <is>
          <t>0x00</t>
        </is>
      </c>
      <c r="V147" s="178" t="inlineStr">
        <is>
          <t>0x00</t>
        </is>
      </c>
      <c r="W147" s="180">
        <f>"0x"&amp;MID(D147,64,2)</f>
        <v/>
      </c>
      <c r="X147" s="180">
        <f>"0x"&amp;MID(D147,67,2)</f>
        <v/>
      </c>
      <c r="Y147" s="182">
        <f>CONCATENATE(RIGHT(G147,2)," ",RIGHT(H147,2)," ",RIGHT(I147,2)," ",RIGHT(J147,2)," ",RIGHT(K147,2)," ",RIGHT(L147,2)," ",RIGHT(M147,2)," ",RIGHT(N147,2)," ",RIGHT(O147,2)," ",RIGHT(P147,2)," ",RIGHT(Q147,2)," ",RIGHT(R147,2)," ",RIGHT(S147,2)," ",RIGHT(T147,2)," ",RIGHT(U147,2)," ",RIGHT(V147,2)," ",RIGHT(W147,2)," ",RIGHT(X147,2))</f>
        <v/>
      </c>
    </row>
    <row r="148" ht="15.75" customHeight="1" s="17">
      <c r="A148" s="222" t="n"/>
      <c r="B148" s="223" t="n"/>
      <c r="C148" s="160" t="inlineStr">
        <is>
          <t>Settings - Jungle</t>
        </is>
      </c>
      <c r="D148" s="160" t="inlineStr">
        <is>
          <t>55 43 49 12 00 10 03 45 00 00 08 00 00 00 00 00 00 00 00 00 00 DA CF</t>
        </is>
      </c>
      <c r="E148" s="161" t="n"/>
      <c r="F148" s="191" t="n"/>
      <c r="G148" s="198" t="inlineStr">
        <is>
          <t>0x10</t>
        </is>
      </c>
      <c r="H148" s="199" t="inlineStr">
        <is>
          <t>0x03</t>
        </is>
      </c>
      <c r="I148" s="199" t="inlineStr">
        <is>
          <t>0x45</t>
        </is>
      </c>
      <c r="J148" s="178" t="inlineStr">
        <is>
          <t>0x00</t>
        </is>
      </c>
      <c r="K148" s="178" t="inlineStr">
        <is>
          <t>0x00</t>
        </is>
      </c>
      <c r="L148" s="178" t="inlineStr">
        <is>
          <t>0x08</t>
        </is>
      </c>
      <c r="M148" s="178" t="inlineStr">
        <is>
          <t>0x00</t>
        </is>
      </c>
      <c r="N148" s="178" t="inlineStr">
        <is>
          <t>0x00</t>
        </is>
      </c>
      <c r="O148" s="178" t="inlineStr">
        <is>
          <t>0x00</t>
        </is>
      </c>
      <c r="P148" s="178" t="inlineStr">
        <is>
          <t>0x00</t>
        </is>
      </c>
      <c r="Q148" s="178" t="inlineStr">
        <is>
          <t>0x00</t>
        </is>
      </c>
      <c r="R148" s="178" t="inlineStr">
        <is>
          <t>0x00</t>
        </is>
      </c>
      <c r="S148" s="178" t="inlineStr">
        <is>
          <t>0x00</t>
        </is>
      </c>
      <c r="T148" s="178" t="inlineStr">
        <is>
          <t>0x00</t>
        </is>
      </c>
      <c r="U148" s="178" t="inlineStr">
        <is>
          <t>0x00</t>
        </is>
      </c>
      <c r="V148" s="178" t="inlineStr">
        <is>
          <t>0x00</t>
        </is>
      </c>
      <c r="W148" s="180">
        <f>"0x"&amp;MID(D148,64,2)</f>
        <v/>
      </c>
      <c r="X148" s="180">
        <f>"0x"&amp;MID(D148,67,2)</f>
        <v/>
      </c>
      <c r="Y148" s="182">
        <f>CONCATENATE(RIGHT(G148,2)," ",RIGHT(H148,2)," ",RIGHT(I148,2)," ",RIGHT(J148,2)," ",RIGHT(K148,2)," ",RIGHT(L148,2)," ",RIGHT(M148,2)," ",RIGHT(N148,2)," ",RIGHT(O148,2)," ",RIGHT(P148,2)," ",RIGHT(Q148,2)," ",RIGHT(R148,2)," ",RIGHT(S148,2)," ",RIGHT(T148,2)," ",RIGHT(U148,2)," ",RIGHT(V148,2)," ",RIGHT(W148,2)," ",RIGHT(X148,2))</f>
        <v/>
      </c>
    </row>
    <row r="149" ht="15.75" customHeight="1" s="17">
      <c r="A149" s="222" t="n"/>
      <c r="B149" s="223" t="n"/>
      <c r="C149" s="160" t="inlineStr">
        <is>
          <t>Settings - Medical</t>
        </is>
      </c>
      <c r="D149" s="160" t="inlineStr">
        <is>
          <t>55 43 49 12 00 10 03 45 00 00 09 00 00 00 00 00 00 00 00 00 00 93 17</t>
        </is>
      </c>
      <c r="E149" s="161" t="n"/>
      <c r="F149" s="191" t="n"/>
      <c r="G149" s="198" t="inlineStr">
        <is>
          <t>0x10</t>
        </is>
      </c>
      <c r="H149" s="199" t="inlineStr">
        <is>
          <t>0x03</t>
        </is>
      </c>
      <c r="I149" s="199" t="inlineStr">
        <is>
          <t>0x45</t>
        </is>
      </c>
      <c r="J149" s="178" t="inlineStr">
        <is>
          <t>0x00</t>
        </is>
      </c>
      <c r="K149" s="178" t="inlineStr">
        <is>
          <t>0x00</t>
        </is>
      </c>
      <c r="L149" s="178" t="inlineStr">
        <is>
          <t>0x09</t>
        </is>
      </c>
      <c r="M149" s="178" t="inlineStr">
        <is>
          <t>0x00</t>
        </is>
      </c>
      <c r="N149" s="178" t="inlineStr">
        <is>
          <t>0x00</t>
        </is>
      </c>
      <c r="O149" s="178" t="inlineStr">
        <is>
          <t>0x00</t>
        </is>
      </c>
      <c r="P149" s="178" t="inlineStr">
        <is>
          <t>0x00</t>
        </is>
      </c>
      <c r="Q149" s="178" t="inlineStr">
        <is>
          <t>0x00</t>
        </is>
      </c>
      <c r="R149" s="178" t="inlineStr">
        <is>
          <t>0x00</t>
        </is>
      </c>
      <c r="S149" s="178" t="inlineStr">
        <is>
          <t>0x00</t>
        </is>
      </c>
      <c r="T149" s="178" t="inlineStr">
        <is>
          <t>0x00</t>
        </is>
      </c>
      <c r="U149" s="178" t="inlineStr">
        <is>
          <t>0x00</t>
        </is>
      </c>
      <c r="V149" s="178" t="inlineStr">
        <is>
          <t>0x00</t>
        </is>
      </c>
      <c r="W149" s="180">
        <f>"0x"&amp;MID(D149,64,2)</f>
        <v/>
      </c>
      <c r="X149" s="180">
        <f>"0x"&amp;MID(D149,67,2)</f>
        <v/>
      </c>
      <c r="Y149" s="182">
        <f>CONCATENATE(RIGHT(G149,2)," ",RIGHT(H149,2)," ",RIGHT(I149,2)," ",RIGHT(J149,2)," ",RIGHT(K149,2)," ",RIGHT(L149,2)," ",RIGHT(M149,2)," ",RIGHT(N149,2)," ",RIGHT(O149,2)," ",RIGHT(P149,2)," ",RIGHT(Q149,2)," ",RIGHT(R149,2)," ",RIGHT(S149,2)," ",RIGHT(T149,2)," ",RIGHT(U149,2)," ",RIGHT(V149,2)," ",RIGHT(W149,2)," ",RIGHT(X149,2))</f>
        <v/>
      </c>
    </row>
    <row r="150" ht="15.75" customHeight="1" s="17">
      <c r="A150" s="222" t="n"/>
      <c r="B150" s="223" t="n"/>
      <c r="C150" s="160" t="inlineStr">
        <is>
          <t>Settings - Black Hot</t>
        </is>
      </c>
      <c r="D150" s="160" t="inlineStr">
        <is>
          <t>55 43 49 12 00 10 03 45 00 00 0A 00 00 00 00 00 00 00 00 00 00 69 6F</t>
        </is>
      </c>
      <c r="E150" s="161" t="n"/>
      <c r="F150" s="191" t="n"/>
      <c r="G150" s="198" t="inlineStr">
        <is>
          <t>0x10</t>
        </is>
      </c>
      <c r="H150" s="199" t="inlineStr">
        <is>
          <t>0x03</t>
        </is>
      </c>
      <c r="I150" s="199" t="inlineStr">
        <is>
          <t>0x45</t>
        </is>
      </c>
      <c r="J150" s="178" t="inlineStr">
        <is>
          <t>0x00</t>
        </is>
      </c>
      <c r="K150" s="178" t="inlineStr">
        <is>
          <t>0x00</t>
        </is>
      </c>
      <c r="L150" s="178" t="inlineStr">
        <is>
          <t>0x0A</t>
        </is>
      </c>
      <c r="M150" s="178" t="inlineStr">
        <is>
          <t>0x00</t>
        </is>
      </c>
      <c r="N150" s="178" t="inlineStr">
        <is>
          <t>0x00</t>
        </is>
      </c>
      <c r="O150" s="178" t="inlineStr">
        <is>
          <t>0x00</t>
        </is>
      </c>
      <c r="P150" s="178" t="inlineStr">
        <is>
          <t>0x00</t>
        </is>
      </c>
      <c r="Q150" s="178" t="inlineStr">
        <is>
          <t>0x00</t>
        </is>
      </c>
      <c r="R150" s="178" t="inlineStr">
        <is>
          <t>0x00</t>
        </is>
      </c>
      <c r="S150" s="178" t="inlineStr">
        <is>
          <t>0x00</t>
        </is>
      </c>
      <c r="T150" s="178" t="inlineStr">
        <is>
          <t>0x00</t>
        </is>
      </c>
      <c r="U150" s="178" t="inlineStr">
        <is>
          <t>0x00</t>
        </is>
      </c>
      <c r="V150" s="178" t="inlineStr">
        <is>
          <t>0x00</t>
        </is>
      </c>
      <c r="W150" s="180">
        <f>"0x"&amp;MID(D150,64,2)</f>
        <v/>
      </c>
      <c r="X150" s="180">
        <f>"0x"&amp;MID(D150,67,2)</f>
        <v/>
      </c>
      <c r="Y150" s="182">
        <f>CONCATENATE(RIGHT(G150,2)," ",RIGHT(H150,2)," ",RIGHT(I150,2)," ",RIGHT(J150,2)," ",RIGHT(K150,2)," ",RIGHT(L150,2)," ",RIGHT(M150,2)," ",RIGHT(N150,2)," ",RIGHT(O150,2)," ",RIGHT(P150,2)," ",RIGHT(Q150,2)," ",RIGHT(R150,2)," ",RIGHT(S150,2)," ",RIGHT(T150,2)," ",RIGHT(U150,2)," ",RIGHT(V150,2)," ",RIGHT(W150,2)," ",RIGHT(X150,2))</f>
        <v/>
      </c>
    </row>
    <row r="151" ht="15.75" customHeight="1" s="17">
      <c r="A151" s="222" t="n"/>
      <c r="B151" s="223" t="n"/>
      <c r="C151" s="160" t="inlineStr">
        <is>
          <t>Settings - Golden Red Glory_Hot</t>
        </is>
      </c>
      <c r="D151" s="160" t="inlineStr">
        <is>
          <t>55 43 49 12 00 10 03 45 00 00 0B 00 00 00 00 00 00 00 00 00 00 20 B7</t>
        </is>
      </c>
      <c r="E151" s="161" t="n"/>
      <c r="F151" s="191" t="n"/>
      <c r="G151" s="198" t="inlineStr">
        <is>
          <t>0x10</t>
        </is>
      </c>
      <c r="H151" s="199" t="inlineStr">
        <is>
          <t>0x03</t>
        </is>
      </c>
      <c r="I151" s="199" t="inlineStr">
        <is>
          <t>0x45</t>
        </is>
      </c>
      <c r="J151" s="178" t="inlineStr">
        <is>
          <t>0x00</t>
        </is>
      </c>
      <c r="K151" s="178" t="inlineStr">
        <is>
          <t>0x00</t>
        </is>
      </c>
      <c r="L151" s="178" t="inlineStr">
        <is>
          <t>0x0B</t>
        </is>
      </c>
      <c r="M151" s="178" t="inlineStr">
        <is>
          <t>0x00</t>
        </is>
      </c>
      <c r="N151" s="178" t="inlineStr">
        <is>
          <t>0x00</t>
        </is>
      </c>
      <c r="O151" s="178" t="inlineStr">
        <is>
          <t>0x00</t>
        </is>
      </c>
      <c r="P151" s="178" t="inlineStr">
        <is>
          <t>0x00</t>
        </is>
      </c>
      <c r="Q151" s="178" t="inlineStr">
        <is>
          <t>0x00</t>
        </is>
      </c>
      <c r="R151" s="178" t="inlineStr">
        <is>
          <t>0x00</t>
        </is>
      </c>
      <c r="S151" s="178" t="inlineStr">
        <is>
          <t>0x00</t>
        </is>
      </c>
      <c r="T151" s="178" t="inlineStr">
        <is>
          <t>0x00</t>
        </is>
      </c>
      <c r="U151" s="178" t="inlineStr">
        <is>
          <t>0x00</t>
        </is>
      </c>
      <c r="V151" s="178" t="inlineStr">
        <is>
          <t>0x00</t>
        </is>
      </c>
      <c r="W151" s="180">
        <f>"0x"&amp;MID(D151,64,2)</f>
        <v/>
      </c>
      <c r="X151" s="180">
        <f>"0x"&amp;MID(D151,67,2)</f>
        <v/>
      </c>
      <c r="Y151" s="182">
        <f>CONCATENATE(RIGHT(G151,2)," ",RIGHT(H151,2)," ",RIGHT(I151,2)," ",RIGHT(J151,2)," ",RIGHT(K151,2)," ",RIGHT(L151,2)," ",RIGHT(M151,2)," ",RIGHT(N151,2)," ",RIGHT(O151,2)," ",RIGHT(P151,2)," ",RIGHT(Q151,2)," ",RIGHT(R151,2)," ",RIGHT(S151,2)," ",RIGHT(T151,2)," ",RIGHT(U151,2)," ",RIGHT(V151,2)," ",RIGHT(W151,2)," ",RIGHT(X151,2))</f>
        <v/>
      </c>
    </row>
    <row r="152" ht="15.75" customHeight="1" s="17">
      <c r="A152" s="222" t="n"/>
      <c r="B152" s="225" t="n"/>
      <c r="C152" s="160" t="inlineStr">
        <is>
          <t>Get</t>
        </is>
      </c>
      <c r="D152" s="160" t="inlineStr">
        <is>
          <t>55 43 49 12 00 10 03 85 00 00 00 00 00 00 00 00 00 01 00 00 00 21 67</t>
        </is>
      </c>
      <c r="E152" s="161" t="n"/>
      <c r="F152" s="191" t="n"/>
      <c r="G152" s="198" t="inlineStr">
        <is>
          <t>0x10</t>
        </is>
      </c>
      <c r="H152" s="199" t="inlineStr">
        <is>
          <t>0x03</t>
        </is>
      </c>
      <c r="I152" s="199" t="inlineStr">
        <is>
          <t>0x85</t>
        </is>
      </c>
      <c r="J152" s="178" t="inlineStr">
        <is>
          <t>0x00</t>
        </is>
      </c>
      <c r="K152" s="178" t="inlineStr">
        <is>
          <t>0x00</t>
        </is>
      </c>
      <c r="L152" s="178" t="inlineStr">
        <is>
          <t>0x00</t>
        </is>
      </c>
      <c r="M152" s="178" t="inlineStr">
        <is>
          <t>0x00</t>
        </is>
      </c>
      <c r="N152" s="178" t="inlineStr">
        <is>
          <t>0x00</t>
        </is>
      </c>
      <c r="O152" s="178" t="inlineStr">
        <is>
          <t>0x00</t>
        </is>
      </c>
      <c r="P152" s="178" t="inlineStr">
        <is>
          <t>0x00</t>
        </is>
      </c>
      <c r="Q152" s="178" t="inlineStr">
        <is>
          <t>0x00</t>
        </is>
      </c>
      <c r="R152" s="178" t="inlineStr">
        <is>
          <t>0x00</t>
        </is>
      </c>
      <c r="S152" s="178" t="inlineStr">
        <is>
          <t>0x01</t>
        </is>
      </c>
      <c r="T152" s="178" t="inlineStr">
        <is>
          <t>0x00</t>
        </is>
      </c>
      <c r="U152" s="178" t="inlineStr">
        <is>
          <t>0x00</t>
        </is>
      </c>
      <c r="V152" s="178" t="inlineStr">
        <is>
          <t>0x00</t>
        </is>
      </c>
      <c r="W152" s="180">
        <f>"0x"&amp;MID(D152,64,2)</f>
        <v/>
      </c>
      <c r="X152" s="180">
        <f>"0x"&amp;MID(D152,67,2)</f>
        <v/>
      </c>
      <c r="Y152" s="182">
        <f>CONCATENATE(RIGHT(G152,2)," ",RIGHT(H152,2)," ",RIGHT(I152,2)," ",RIGHT(J152,2)," ",RIGHT(K152,2)," ",RIGHT(L152,2)," ",RIGHT(M152,2)," ",RIGHT(N152,2)," ",RIGHT(O152,2)," ",RIGHT(P152,2)," ",RIGHT(Q152,2)," ",RIGHT(R152,2)," ",RIGHT(S152,2)," ",RIGHT(T152,2)," ",RIGHT(U152,2)," ",RIGHT(V152,2)," ",RIGHT(W152,2)," ",RIGHT(X152,2))</f>
        <v/>
      </c>
    </row>
    <row r="153">
      <c r="A153" s="222" t="n"/>
      <c r="B153" s="160" t="inlineStr">
        <is>
          <t>Detail Enhancement</t>
        </is>
      </c>
      <c r="C153" s="160" t="inlineStr">
        <is>
          <t>Settings - 0 Gear</t>
        </is>
      </c>
      <c r="D153" s="160" t="inlineStr">
        <is>
          <t>55 43 49 12 00 10 04 45 00 00 00 00 00 00 00 00 00 00 00 00 00 C3 15</t>
        </is>
      </c>
      <c r="E153" s="161" t="n"/>
      <c r="F153" s="191" t="n"/>
      <c r="G153" s="192" t="inlineStr">
        <is>
          <t>0x10</t>
        </is>
      </c>
      <c r="H153" s="178" t="inlineStr">
        <is>
          <t>0x04</t>
        </is>
      </c>
      <c r="I153" s="178" t="inlineStr">
        <is>
          <t>0x45</t>
        </is>
      </c>
      <c r="J153" s="178" t="inlineStr">
        <is>
          <t>0x00</t>
        </is>
      </c>
      <c r="K153" s="130" t="inlineStr">
        <is>
          <t>0x00</t>
        </is>
      </c>
      <c r="L153" s="178" t="inlineStr">
        <is>
          <t>0x00</t>
        </is>
      </c>
      <c r="M153" s="178" t="inlineStr">
        <is>
          <t>0x00</t>
        </is>
      </c>
      <c r="N153" s="178" t="inlineStr">
        <is>
          <t>0x00</t>
        </is>
      </c>
      <c r="O153" s="178" t="inlineStr">
        <is>
          <t>0x00</t>
        </is>
      </c>
      <c r="P153" s="178" t="inlineStr">
        <is>
          <t>0x00</t>
        </is>
      </c>
      <c r="Q153" s="178" t="inlineStr">
        <is>
          <t>0x00</t>
        </is>
      </c>
      <c r="R153" s="178" t="inlineStr">
        <is>
          <t>0x00</t>
        </is>
      </c>
      <c r="S153" s="178" t="inlineStr">
        <is>
          <t>0x00</t>
        </is>
      </c>
      <c r="T153" s="178" t="inlineStr">
        <is>
          <t>0x00</t>
        </is>
      </c>
      <c r="U153" s="178" t="inlineStr">
        <is>
          <t>0x00</t>
        </is>
      </c>
      <c r="V153" s="178" t="inlineStr">
        <is>
          <t>0x00</t>
        </is>
      </c>
      <c r="W153" s="180">
        <f>"0x"&amp;MID(D153,64,2)</f>
        <v/>
      </c>
      <c r="X153" s="180">
        <f>"0x"&amp;MID(D153,67,2)</f>
        <v/>
      </c>
      <c r="Y153" s="182">
        <f>CONCATENATE(RIGHT(G153,2)," ",RIGHT(H153,2)," ",RIGHT(I153,2)," ",RIGHT(J153,2)," ",RIGHT(K153,2)," ",RIGHT(L153,2)," ",RIGHT(M153,2)," ",RIGHT(N153,2)," ",RIGHT(O153,2)," ",RIGHT(P153,2)," ",RIGHT(Q153,2)," ",RIGHT(R153,2)," ",RIGHT(S153,2)," ",RIGHT(T153,2)," ",RIGHT(U153,2)," ",RIGHT(V153,2)," ",RIGHT(W153,2)," ",RIGHT(X153,2))</f>
        <v/>
      </c>
    </row>
    <row r="154">
      <c r="A154" s="222" t="n"/>
      <c r="B154" s="223" t="n"/>
      <c r="C154" s="160" t="inlineStr">
        <is>
          <t>Settings - 10 Gear</t>
        </is>
      </c>
      <c r="D154" s="160" t="inlineStr">
        <is>
          <t>55 43 49 12 00 10 04 45 00 0A 00 00 00 00 00 00 00 00 00 00 00 81 08</t>
        </is>
      </c>
      <c r="E154" s="161" t="n"/>
      <c r="F154" s="191" t="n"/>
      <c r="G154" s="192" t="inlineStr">
        <is>
          <t>0x10</t>
        </is>
      </c>
      <c r="H154" s="178" t="inlineStr">
        <is>
          <t>0x04</t>
        </is>
      </c>
      <c r="I154" s="178" t="inlineStr">
        <is>
          <t>0x45</t>
        </is>
      </c>
      <c r="J154" s="178" t="inlineStr">
        <is>
          <t>0x00</t>
        </is>
      </c>
      <c r="K154" s="130" t="inlineStr">
        <is>
          <t>0x0A</t>
        </is>
      </c>
      <c r="L154" s="178" t="inlineStr">
        <is>
          <t>0x00</t>
        </is>
      </c>
      <c r="M154" s="178" t="inlineStr">
        <is>
          <t>0x00</t>
        </is>
      </c>
      <c r="N154" s="178" t="inlineStr">
        <is>
          <t>0x00</t>
        </is>
      </c>
      <c r="O154" s="178" t="inlineStr">
        <is>
          <t>0x00</t>
        </is>
      </c>
      <c r="P154" s="178" t="inlineStr">
        <is>
          <t>0x00</t>
        </is>
      </c>
      <c r="Q154" s="178" t="inlineStr">
        <is>
          <t>0x00</t>
        </is>
      </c>
      <c r="R154" s="178" t="inlineStr">
        <is>
          <t>0x00</t>
        </is>
      </c>
      <c r="S154" s="178" t="inlineStr">
        <is>
          <t>0x00</t>
        </is>
      </c>
      <c r="T154" s="178" t="inlineStr">
        <is>
          <t>0x00</t>
        </is>
      </c>
      <c r="U154" s="178" t="inlineStr">
        <is>
          <t>0x00</t>
        </is>
      </c>
      <c r="V154" s="178" t="inlineStr">
        <is>
          <t>0x00</t>
        </is>
      </c>
      <c r="W154" s="180">
        <f>"0x"&amp;MID(D154,64,2)</f>
        <v/>
      </c>
      <c r="X154" s="180">
        <f>"0x"&amp;MID(D154,67,2)</f>
        <v/>
      </c>
      <c r="Y154" s="182">
        <f>CONCATENATE(RIGHT(G154,2)," ",RIGHT(H154,2)," ",RIGHT(I154,2)," ",RIGHT(J154,2)," ",RIGHT(K154,2)," ",RIGHT(L154,2)," ",RIGHT(M154,2)," ",RIGHT(N154,2)," ",RIGHT(O154,2)," ",RIGHT(P154,2)," ",RIGHT(Q154,2)," ",RIGHT(R154,2)," ",RIGHT(S154,2)," ",RIGHT(T154,2)," ",RIGHT(U154,2)," ",RIGHT(V154,2)," ",RIGHT(W154,2)," ",RIGHT(X154,2))</f>
        <v/>
      </c>
    </row>
    <row r="155">
      <c r="A155" s="222" t="n"/>
      <c r="B155" s="223" t="n"/>
      <c r="C155" s="160" t="inlineStr">
        <is>
          <t>Settings - 20 Gear</t>
        </is>
      </c>
      <c r="D155" s="160" t="inlineStr">
        <is>
          <t>55 43 49 12 00 10 04 45 00 14 00 00 00 00 00 00 00 00 00 00 00 47 2F</t>
        </is>
      </c>
      <c r="E155" s="161" t="n"/>
      <c r="F155" s="191" t="n"/>
      <c r="G155" s="192" t="inlineStr">
        <is>
          <t>0x10</t>
        </is>
      </c>
      <c r="H155" s="178" t="inlineStr">
        <is>
          <t>0x04</t>
        </is>
      </c>
      <c r="I155" s="178" t="inlineStr">
        <is>
          <t>0x45</t>
        </is>
      </c>
      <c r="J155" s="178" t="inlineStr">
        <is>
          <t>0x00</t>
        </is>
      </c>
      <c r="K155" s="130" t="inlineStr">
        <is>
          <t>0x14</t>
        </is>
      </c>
      <c r="L155" s="178" t="inlineStr">
        <is>
          <t>0x00</t>
        </is>
      </c>
      <c r="M155" s="178" t="inlineStr">
        <is>
          <t>0x00</t>
        </is>
      </c>
      <c r="N155" s="178" t="inlineStr">
        <is>
          <t>0x00</t>
        </is>
      </c>
      <c r="O155" s="178" t="inlineStr">
        <is>
          <t>0x00</t>
        </is>
      </c>
      <c r="P155" s="178" t="inlineStr">
        <is>
          <t>0x00</t>
        </is>
      </c>
      <c r="Q155" s="178" t="inlineStr">
        <is>
          <t>0x00</t>
        </is>
      </c>
      <c r="R155" s="178" t="inlineStr">
        <is>
          <t>0x00</t>
        </is>
      </c>
      <c r="S155" s="178" t="inlineStr">
        <is>
          <t>0x00</t>
        </is>
      </c>
      <c r="T155" s="178" t="inlineStr">
        <is>
          <t>0x00</t>
        </is>
      </c>
      <c r="U155" s="178" t="inlineStr">
        <is>
          <t>0x00</t>
        </is>
      </c>
      <c r="V155" s="178" t="inlineStr">
        <is>
          <t>0x00</t>
        </is>
      </c>
      <c r="W155" s="180">
        <f>"0x"&amp;MID(D155,64,2)</f>
        <v/>
      </c>
      <c r="X155" s="180">
        <f>"0x"&amp;MID(D155,67,2)</f>
        <v/>
      </c>
      <c r="Y155" s="182">
        <f>CONCATENATE(RIGHT(G155,2)," ",RIGHT(H155,2)," ",RIGHT(I155,2)," ",RIGHT(J155,2)," ",RIGHT(K155,2)," ",RIGHT(L155,2)," ",RIGHT(M155,2)," ",RIGHT(N155,2)," ",RIGHT(O155,2)," ",RIGHT(P155,2)," ",RIGHT(Q155,2)," ",RIGHT(R155,2)," ",RIGHT(S155,2)," ",RIGHT(T155,2)," ",RIGHT(U155,2)," ",RIGHT(V155,2)," ",RIGHT(W155,2)," ",RIGHT(X155,2))</f>
        <v/>
      </c>
    </row>
    <row r="156">
      <c r="A156" s="222" t="n"/>
      <c r="B156" s="223" t="n"/>
      <c r="C156" s="160" t="inlineStr">
        <is>
          <t>Settings - 30 Gear</t>
        </is>
      </c>
      <c r="D156" s="160" t="inlineStr">
        <is>
          <t>55 43 49 12 00 10 04 45 00 1E 00 00 00 00 00 00 00 00 00 00 00 05 32</t>
        </is>
      </c>
      <c r="E156" s="161" t="n"/>
      <c r="F156" s="191" t="n"/>
      <c r="G156" s="192" t="inlineStr">
        <is>
          <t>0x10</t>
        </is>
      </c>
      <c r="H156" s="178" t="inlineStr">
        <is>
          <t>0x04</t>
        </is>
      </c>
      <c r="I156" s="178" t="inlineStr">
        <is>
          <t>0x45</t>
        </is>
      </c>
      <c r="J156" s="178" t="inlineStr">
        <is>
          <t>0x00</t>
        </is>
      </c>
      <c r="K156" s="130" t="inlineStr">
        <is>
          <t>0x1E</t>
        </is>
      </c>
      <c r="L156" s="178" t="inlineStr">
        <is>
          <t>0x00</t>
        </is>
      </c>
      <c r="M156" s="178" t="inlineStr">
        <is>
          <t>0x00</t>
        </is>
      </c>
      <c r="N156" s="178" t="inlineStr">
        <is>
          <t>0x00</t>
        </is>
      </c>
      <c r="O156" s="178" t="inlineStr">
        <is>
          <t>0x00</t>
        </is>
      </c>
      <c r="P156" s="178" t="inlineStr">
        <is>
          <t>0x00</t>
        </is>
      </c>
      <c r="Q156" s="178" t="inlineStr">
        <is>
          <t>0x00</t>
        </is>
      </c>
      <c r="R156" s="178" t="inlineStr">
        <is>
          <t>0x00</t>
        </is>
      </c>
      <c r="S156" s="178" t="inlineStr">
        <is>
          <t>0x00</t>
        </is>
      </c>
      <c r="T156" s="178" t="inlineStr">
        <is>
          <t>0x00</t>
        </is>
      </c>
      <c r="U156" s="178" t="inlineStr">
        <is>
          <t>0x00</t>
        </is>
      </c>
      <c r="V156" s="178" t="inlineStr">
        <is>
          <t>0x00</t>
        </is>
      </c>
      <c r="W156" s="180">
        <f>"0x"&amp;MID(D156,64,2)</f>
        <v/>
      </c>
      <c r="X156" s="180">
        <f>"0x"&amp;MID(D156,67,2)</f>
        <v/>
      </c>
      <c r="Y156" s="182">
        <f>CONCATENATE(RIGHT(G156,2)," ",RIGHT(H156,2)," ",RIGHT(I156,2)," ",RIGHT(J156,2)," ",RIGHT(K156,2)," ",RIGHT(L156,2)," ",RIGHT(M156,2)," ",RIGHT(N156,2)," ",RIGHT(O156,2)," ",RIGHT(P156,2)," ",RIGHT(Q156,2)," ",RIGHT(R156,2)," ",RIGHT(S156,2)," ",RIGHT(T156,2)," ",RIGHT(U156,2)," ",RIGHT(V156,2)," ",RIGHT(W156,2)," ",RIGHT(X156,2))</f>
        <v/>
      </c>
    </row>
    <row r="157">
      <c r="A157" s="222" t="n"/>
      <c r="B157" s="223" t="n"/>
      <c r="C157" s="160" t="inlineStr">
        <is>
          <t>Settings - 40 Gear</t>
        </is>
      </c>
      <c r="D157" s="160" t="inlineStr">
        <is>
          <t>55 43 49 12 00 10 04 45 00 28 00 00 00 00 00 00 00 00 00 00 00 CB 60</t>
        </is>
      </c>
      <c r="E157" s="161" t="n"/>
      <c r="F157" s="191" t="n"/>
      <c r="G157" s="192" t="inlineStr">
        <is>
          <t>0x10</t>
        </is>
      </c>
      <c r="H157" s="178" t="inlineStr">
        <is>
          <t>0x04</t>
        </is>
      </c>
      <c r="I157" s="178" t="inlineStr">
        <is>
          <t>0x45</t>
        </is>
      </c>
      <c r="J157" s="178" t="inlineStr">
        <is>
          <t>0x00</t>
        </is>
      </c>
      <c r="K157" s="130" t="inlineStr">
        <is>
          <t>0x28</t>
        </is>
      </c>
      <c r="L157" s="178" t="inlineStr">
        <is>
          <t>0x00</t>
        </is>
      </c>
      <c r="M157" s="178" t="inlineStr">
        <is>
          <t>0x00</t>
        </is>
      </c>
      <c r="N157" s="178" t="inlineStr">
        <is>
          <t>0x00</t>
        </is>
      </c>
      <c r="O157" s="178" t="inlineStr">
        <is>
          <t>0x00</t>
        </is>
      </c>
      <c r="P157" s="178" t="inlineStr">
        <is>
          <t>0x00</t>
        </is>
      </c>
      <c r="Q157" s="178" t="inlineStr">
        <is>
          <t>0x00</t>
        </is>
      </c>
      <c r="R157" s="178" t="inlineStr">
        <is>
          <t>0x00</t>
        </is>
      </c>
      <c r="S157" s="178" t="inlineStr">
        <is>
          <t>0x00</t>
        </is>
      </c>
      <c r="T157" s="178" t="inlineStr">
        <is>
          <t>0x00</t>
        </is>
      </c>
      <c r="U157" s="178" t="inlineStr">
        <is>
          <t>0x00</t>
        </is>
      </c>
      <c r="V157" s="178" t="inlineStr">
        <is>
          <t>0x00</t>
        </is>
      </c>
      <c r="W157" s="180">
        <f>"0x"&amp;MID(D157,64,2)</f>
        <v/>
      </c>
      <c r="X157" s="180">
        <f>"0x"&amp;MID(D157,67,2)</f>
        <v/>
      </c>
      <c r="Y157" s="182">
        <f>CONCATENATE(RIGHT(G157,2)," ",RIGHT(H157,2)," ",RIGHT(I157,2)," ",RIGHT(J157,2)," ",RIGHT(K157,2)," ",RIGHT(L157,2)," ",RIGHT(M157,2)," ",RIGHT(N157,2)," ",RIGHT(O157,2)," ",RIGHT(P157,2)," ",RIGHT(Q157,2)," ",RIGHT(R157,2)," ",RIGHT(S157,2)," ",RIGHT(T157,2)," ",RIGHT(U157,2)," ",RIGHT(V157,2)," ",RIGHT(W157,2)," ",RIGHT(X157,2))</f>
        <v/>
      </c>
    </row>
    <row r="158">
      <c r="A158" s="222" t="n"/>
      <c r="B158" s="223" t="n"/>
      <c r="C158" s="160" t="inlineStr">
        <is>
          <t>Settings - 50 Gear</t>
        </is>
      </c>
      <c r="D158" s="160" t="inlineStr">
        <is>
          <t>55 43 49 12 00 10 04 45 00 32 00 00 00 00 00 00 00 00 00 00 00 D9 4A</t>
        </is>
      </c>
      <c r="E158" s="161" t="n"/>
      <c r="F158" s="191" t="n"/>
      <c r="G158" s="192" t="inlineStr">
        <is>
          <t>0x10</t>
        </is>
      </c>
      <c r="H158" s="178" t="inlineStr">
        <is>
          <t>0x04</t>
        </is>
      </c>
      <c r="I158" s="178" t="inlineStr">
        <is>
          <t>0x45</t>
        </is>
      </c>
      <c r="J158" s="178" t="inlineStr">
        <is>
          <t>0x00</t>
        </is>
      </c>
      <c r="K158" s="130" t="inlineStr">
        <is>
          <t>0x32</t>
        </is>
      </c>
      <c r="L158" s="178" t="inlineStr">
        <is>
          <t>0x00</t>
        </is>
      </c>
      <c r="M158" s="178" t="inlineStr">
        <is>
          <t>0x00</t>
        </is>
      </c>
      <c r="N158" s="178" t="inlineStr">
        <is>
          <t>0x00</t>
        </is>
      </c>
      <c r="O158" s="178" t="inlineStr">
        <is>
          <t>0x00</t>
        </is>
      </c>
      <c r="P158" s="178" t="inlineStr">
        <is>
          <t>0x00</t>
        </is>
      </c>
      <c r="Q158" s="178" t="inlineStr">
        <is>
          <t>0x00</t>
        </is>
      </c>
      <c r="R158" s="178" t="inlineStr">
        <is>
          <t>0x00</t>
        </is>
      </c>
      <c r="S158" s="178" t="inlineStr">
        <is>
          <t>0x00</t>
        </is>
      </c>
      <c r="T158" s="178" t="inlineStr">
        <is>
          <t>0x00</t>
        </is>
      </c>
      <c r="U158" s="178" t="inlineStr">
        <is>
          <t>0x00</t>
        </is>
      </c>
      <c r="V158" s="178" t="inlineStr">
        <is>
          <t>0x00</t>
        </is>
      </c>
      <c r="W158" s="180">
        <f>"0x"&amp;MID(D158,64,2)</f>
        <v/>
      </c>
      <c r="X158" s="180">
        <f>"0x"&amp;MID(D158,67,2)</f>
        <v/>
      </c>
      <c r="Y158" s="182">
        <f>CONCATENATE(RIGHT(G158,2)," ",RIGHT(H158,2)," ",RIGHT(I158,2)," ",RIGHT(J158,2)," ",RIGHT(K158,2)," ",RIGHT(L158,2)," ",RIGHT(M158,2)," ",RIGHT(N158,2)," ",RIGHT(O158,2)," ",RIGHT(P158,2)," ",RIGHT(Q158,2)," ",RIGHT(R158,2)," ",RIGHT(S158,2)," ",RIGHT(T158,2)," ",RIGHT(U158,2)," ",RIGHT(V158,2)," ",RIGHT(W158,2)," ",RIGHT(X158,2))</f>
        <v/>
      </c>
    </row>
    <row r="159">
      <c r="A159" s="222" t="n"/>
      <c r="B159" s="223" t="n"/>
      <c r="C159" s="160" t="inlineStr">
        <is>
          <t>Settings - 60 Gear</t>
        </is>
      </c>
      <c r="D159" s="160" t="inlineStr">
        <is>
          <t>55 43 49 12 00 10 04 45 00 3C 00 00 00 00 00 00 00 00 00 00 00 4F 5A</t>
        </is>
      </c>
      <c r="E159" s="161" t="n"/>
      <c r="F159" s="191" t="n"/>
      <c r="G159" s="192" t="inlineStr">
        <is>
          <t>0x10</t>
        </is>
      </c>
      <c r="H159" s="178" t="inlineStr">
        <is>
          <t>0x04</t>
        </is>
      </c>
      <c r="I159" s="178" t="inlineStr">
        <is>
          <t>0x45</t>
        </is>
      </c>
      <c r="J159" s="178" t="inlineStr">
        <is>
          <t>0x00</t>
        </is>
      </c>
      <c r="K159" s="130" t="inlineStr">
        <is>
          <t>0x3C</t>
        </is>
      </c>
      <c r="L159" s="178" t="inlineStr">
        <is>
          <t>0x00</t>
        </is>
      </c>
      <c r="M159" s="178" t="inlineStr">
        <is>
          <t>0x00</t>
        </is>
      </c>
      <c r="N159" s="178" t="inlineStr">
        <is>
          <t>0x00</t>
        </is>
      </c>
      <c r="O159" s="178" t="inlineStr">
        <is>
          <t>0x00</t>
        </is>
      </c>
      <c r="P159" s="178" t="inlineStr">
        <is>
          <t>0x00</t>
        </is>
      </c>
      <c r="Q159" s="178" t="inlineStr">
        <is>
          <t>0x00</t>
        </is>
      </c>
      <c r="R159" s="178" t="inlineStr">
        <is>
          <t>0x00</t>
        </is>
      </c>
      <c r="S159" s="178" t="inlineStr">
        <is>
          <t>0x00</t>
        </is>
      </c>
      <c r="T159" s="178" t="inlineStr">
        <is>
          <t>0x00</t>
        </is>
      </c>
      <c r="U159" s="178" t="inlineStr">
        <is>
          <t>0x00</t>
        </is>
      </c>
      <c r="V159" s="178" t="inlineStr">
        <is>
          <t>0x00</t>
        </is>
      </c>
      <c r="W159" s="180">
        <f>"0x"&amp;MID(D159,64,2)</f>
        <v/>
      </c>
      <c r="X159" s="180">
        <f>"0x"&amp;MID(D159,67,2)</f>
        <v/>
      </c>
      <c r="Y159" s="182">
        <f>CONCATENATE(RIGHT(G159,2)," ",RIGHT(H159,2)," ",RIGHT(I159,2)," ",RIGHT(J159,2)," ",RIGHT(K159,2)," ",RIGHT(L159,2)," ",RIGHT(M159,2)," ",RIGHT(N159,2)," ",RIGHT(O159,2)," ",RIGHT(P159,2)," ",RIGHT(Q159,2)," ",RIGHT(R159,2)," ",RIGHT(S159,2)," ",RIGHT(T159,2)," ",RIGHT(U159,2)," ",RIGHT(V159,2)," ",RIGHT(W159,2)," ",RIGHT(X159,2))</f>
        <v/>
      </c>
    </row>
    <row r="160">
      <c r="A160" s="222" t="n"/>
      <c r="B160" s="223" t="n"/>
      <c r="C160" s="160" t="inlineStr">
        <is>
          <t>Settings - 70 Gear</t>
        </is>
      </c>
      <c r="D160" s="160" t="inlineStr">
        <is>
          <t>55 43 49 12 00 10 04 45 00 46 00 00 00 00 00 00 00 00 00 00 00 BD C3</t>
        </is>
      </c>
      <c r="E160" s="161" t="n"/>
      <c r="F160" s="191" t="n"/>
      <c r="G160" s="192" t="inlineStr">
        <is>
          <t>0x10</t>
        </is>
      </c>
      <c r="H160" s="178" t="inlineStr">
        <is>
          <t>0x04</t>
        </is>
      </c>
      <c r="I160" s="178" t="inlineStr">
        <is>
          <t>0x45</t>
        </is>
      </c>
      <c r="J160" s="178" t="inlineStr">
        <is>
          <t>0x00</t>
        </is>
      </c>
      <c r="K160" s="130" t="inlineStr">
        <is>
          <t>0x46</t>
        </is>
      </c>
      <c r="L160" s="178" t="inlineStr">
        <is>
          <t>0x00</t>
        </is>
      </c>
      <c r="M160" s="178" t="inlineStr">
        <is>
          <t>0x00</t>
        </is>
      </c>
      <c r="N160" s="178" t="inlineStr">
        <is>
          <t>0x00</t>
        </is>
      </c>
      <c r="O160" s="178" t="inlineStr">
        <is>
          <t>0x00</t>
        </is>
      </c>
      <c r="P160" s="178" t="inlineStr">
        <is>
          <t>0x00</t>
        </is>
      </c>
      <c r="Q160" s="178" t="inlineStr">
        <is>
          <t>0x00</t>
        </is>
      </c>
      <c r="R160" s="178" t="inlineStr">
        <is>
          <t>0x00</t>
        </is>
      </c>
      <c r="S160" s="178" t="inlineStr">
        <is>
          <t>0x00</t>
        </is>
      </c>
      <c r="T160" s="178" t="inlineStr">
        <is>
          <t>0x00</t>
        </is>
      </c>
      <c r="U160" s="178" t="inlineStr">
        <is>
          <t>0x00</t>
        </is>
      </c>
      <c r="V160" s="178" t="inlineStr">
        <is>
          <t>0x00</t>
        </is>
      </c>
      <c r="W160" s="180">
        <f>"0x"&amp;MID(D160,64,2)</f>
        <v/>
      </c>
      <c r="X160" s="180">
        <f>"0x"&amp;MID(D160,67,2)</f>
        <v/>
      </c>
      <c r="Y160" s="182">
        <f>CONCATENATE(RIGHT(G160,2)," ",RIGHT(H160,2)," ",RIGHT(I160,2)," ",RIGHT(J160,2)," ",RIGHT(K160,2)," ",RIGHT(L160,2)," ",RIGHT(M160,2)," ",RIGHT(N160,2)," ",RIGHT(O160,2)," ",RIGHT(P160,2)," ",RIGHT(Q160,2)," ",RIGHT(R160,2)," ",RIGHT(S160,2)," ",RIGHT(T160,2)," ",RIGHT(U160,2)," ",RIGHT(V160,2)," ",RIGHT(W160,2)," ",RIGHT(X160,2))</f>
        <v/>
      </c>
    </row>
    <row r="161">
      <c r="A161" s="222" t="n"/>
      <c r="B161" s="223" t="n"/>
      <c r="C161" s="160" t="inlineStr">
        <is>
          <t>Settings - 80 Gear</t>
        </is>
      </c>
      <c r="D161" s="160" t="inlineStr">
        <is>
          <t>55 43 49 12 00 10 04 45 00 50 00 00 00 00 00 00 00 00 00 00 00 D3 FF</t>
        </is>
      </c>
      <c r="E161" s="161" t="n"/>
      <c r="F161" s="191" t="n"/>
      <c r="G161" s="192" t="inlineStr">
        <is>
          <t>0x10</t>
        </is>
      </c>
      <c r="H161" s="178" t="inlineStr">
        <is>
          <t>0x04</t>
        </is>
      </c>
      <c r="I161" s="178" t="inlineStr">
        <is>
          <t>0x45</t>
        </is>
      </c>
      <c r="J161" s="178" t="inlineStr">
        <is>
          <t>0x00</t>
        </is>
      </c>
      <c r="K161" s="130" t="inlineStr">
        <is>
          <t>0x50</t>
        </is>
      </c>
      <c r="L161" s="178" t="inlineStr">
        <is>
          <t>0x00</t>
        </is>
      </c>
      <c r="M161" s="178" t="inlineStr">
        <is>
          <t>0x00</t>
        </is>
      </c>
      <c r="N161" s="178" t="inlineStr">
        <is>
          <t>0x00</t>
        </is>
      </c>
      <c r="O161" s="178" t="inlineStr">
        <is>
          <t>0x00</t>
        </is>
      </c>
      <c r="P161" s="178" t="inlineStr">
        <is>
          <t>0x00</t>
        </is>
      </c>
      <c r="Q161" s="178" t="inlineStr">
        <is>
          <t>0x00</t>
        </is>
      </c>
      <c r="R161" s="178" t="inlineStr">
        <is>
          <t>0x00</t>
        </is>
      </c>
      <c r="S161" s="178" t="inlineStr">
        <is>
          <t>0x00</t>
        </is>
      </c>
      <c r="T161" s="178" t="inlineStr">
        <is>
          <t>0x00</t>
        </is>
      </c>
      <c r="U161" s="178" t="inlineStr">
        <is>
          <t>0x00</t>
        </is>
      </c>
      <c r="V161" s="178" t="inlineStr">
        <is>
          <t>0x00</t>
        </is>
      </c>
      <c r="W161" s="180">
        <f>"0x"&amp;MID(D161,64,2)</f>
        <v/>
      </c>
      <c r="X161" s="180">
        <f>"0x"&amp;MID(D161,67,2)</f>
        <v/>
      </c>
      <c r="Y161" s="182">
        <f>CONCATENATE(RIGHT(G161,2)," ",RIGHT(H161,2)," ",RIGHT(I161,2)," ",RIGHT(J161,2)," ",RIGHT(K161,2)," ",RIGHT(L161,2)," ",RIGHT(M161,2)," ",RIGHT(N161,2)," ",RIGHT(O161,2)," ",RIGHT(P161,2)," ",RIGHT(Q161,2)," ",RIGHT(R161,2)," ",RIGHT(S161,2)," ",RIGHT(T161,2)," ",RIGHT(U161,2)," ",RIGHT(V161,2)," ",RIGHT(W161,2)," ",RIGHT(X161,2))</f>
        <v/>
      </c>
    </row>
    <row r="162">
      <c r="A162" s="222" t="n"/>
      <c r="B162" s="223" t="n"/>
      <c r="C162" s="160" t="inlineStr">
        <is>
          <t>Settings - 90 Gear</t>
        </is>
      </c>
      <c r="D162" s="160" t="inlineStr">
        <is>
          <t>55 43 49 12 00 10 04 45 00 5A 00 00 00 00 00 00 00 00 00 00 00 91 E2</t>
        </is>
      </c>
      <c r="E162" s="161" t="n"/>
      <c r="F162" s="191" t="n"/>
      <c r="G162" s="192" t="inlineStr">
        <is>
          <t>0x10</t>
        </is>
      </c>
      <c r="H162" s="178" t="inlineStr">
        <is>
          <t>0x04</t>
        </is>
      </c>
      <c r="I162" s="178" t="inlineStr">
        <is>
          <t>0x45</t>
        </is>
      </c>
      <c r="J162" s="178" t="inlineStr">
        <is>
          <t>0x00</t>
        </is>
      </c>
      <c r="K162" s="130" t="inlineStr">
        <is>
          <t>0x5A</t>
        </is>
      </c>
      <c r="L162" s="178" t="inlineStr">
        <is>
          <t>0x00</t>
        </is>
      </c>
      <c r="M162" s="178" t="inlineStr">
        <is>
          <t>0x00</t>
        </is>
      </c>
      <c r="N162" s="178" t="inlineStr">
        <is>
          <t>0x00</t>
        </is>
      </c>
      <c r="O162" s="178" t="inlineStr">
        <is>
          <t>0x00</t>
        </is>
      </c>
      <c r="P162" s="178" t="inlineStr">
        <is>
          <t>0x00</t>
        </is>
      </c>
      <c r="Q162" s="178" t="inlineStr">
        <is>
          <t>0x00</t>
        </is>
      </c>
      <c r="R162" s="178" t="inlineStr">
        <is>
          <t>0x00</t>
        </is>
      </c>
      <c r="S162" s="178" t="inlineStr">
        <is>
          <t>0x00</t>
        </is>
      </c>
      <c r="T162" s="178" t="inlineStr">
        <is>
          <t>0x00</t>
        </is>
      </c>
      <c r="U162" s="178" t="inlineStr">
        <is>
          <t>0x00</t>
        </is>
      </c>
      <c r="V162" s="178" t="inlineStr">
        <is>
          <t>0x00</t>
        </is>
      </c>
      <c r="W162" s="180">
        <f>"0x"&amp;MID(D162,64,2)</f>
        <v/>
      </c>
      <c r="X162" s="180">
        <f>"0x"&amp;MID(D162,67,2)</f>
        <v/>
      </c>
      <c r="Y162" s="182">
        <f>CONCATENATE(RIGHT(G162,2)," ",RIGHT(H162,2)," ",RIGHT(I162,2)," ",RIGHT(J162,2)," ",RIGHT(K162,2)," ",RIGHT(L162,2)," ",RIGHT(M162,2)," ",RIGHT(N162,2)," ",RIGHT(O162,2)," ",RIGHT(P162,2)," ",RIGHT(Q162,2)," ",RIGHT(R162,2)," ",RIGHT(S162,2)," ",RIGHT(T162,2)," ",RIGHT(U162,2)," ",RIGHT(V162,2)," ",RIGHT(W162,2)," ",RIGHT(X162,2))</f>
        <v/>
      </c>
    </row>
    <row r="163">
      <c r="A163" s="222" t="n"/>
      <c r="B163" s="223" t="n"/>
      <c r="C163" s="160" t="inlineStr">
        <is>
          <t>Settings - 100 Gear</t>
        </is>
      </c>
      <c r="D163" s="160" t="inlineStr">
        <is>
          <t>55 43 49 12 00 10 04 45 00 64 00 00 00 00 00 00 00 00 00 00 00 F7 AB</t>
        </is>
      </c>
      <c r="E163" s="161" t="n"/>
      <c r="F163" s="191" t="n"/>
      <c r="G163" s="192" t="inlineStr">
        <is>
          <t>0x10</t>
        </is>
      </c>
      <c r="H163" s="178" t="inlineStr">
        <is>
          <t>0x04</t>
        </is>
      </c>
      <c r="I163" s="178" t="inlineStr">
        <is>
          <t>0x45</t>
        </is>
      </c>
      <c r="J163" s="178" t="inlineStr">
        <is>
          <t>0x00</t>
        </is>
      </c>
      <c r="K163" s="130" t="inlineStr">
        <is>
          <t>0x64</t>
        </is>
      </c>
      <c r="L163" s="178" t="inlineStr">
        <is>
          <t>0x00</t>
        </is>
      </c>
      <c r="M163" s="178" t="inlineStr">
        <is>
          <t>0x00</t>
        </is>
      </c>
      <c r="N163" s="178" t="inlineStr">
        <is>
          <t>0x00</t>
        </is>
      </c>
      <c r="O163" s="178" t="inlineStr">
        <is>
          <t>0x00</t>
        </is>
      </c>
      <c r="P163" s="178" t="inlineStr">
        <is>
          <t>0x00</t>
        </is>
      </c>
      <c r="Q163" s="178" t="inlineStr">
        <is>
          <t>0x00</t>
        </is>
      </c>
      <c r="R163" s="178" t="inlineStr">
        <is>
          <t>0x00</t>
        </is>
      </c>
      <c r="S163" s="178" t="inlineStr">
        <is>
          <t>0x00</t>
        </is>
      </c>
      <c r="T163" s="178" t="inlineStr">
        <is>
          <t>0x00</t>
        </is>
      </c>
      <c r="U163" s="178" t="inlineStr">
        <is>
          <t>0x00</t>
        </is>
      </c>
      <c r="V163" s="178" t="inlineStr">
        <is>
          <t>0x00</t>
        </is>
      </c>
      <c r="W163" s="180">
        <f>"0x"&amp;MID(D163,64,2)</f>
        <v/>
      </c>
      <c r="X163" s="180">
        <f>"0x"&amp;MID(D163,67,2)</f>
        <v/>
      </c>
      <c r="Y163" s="182">
        <f>CONCATENATE(RIGHT(G163,2)," ",RIGHT(H163,2)," ",RIGHT(I163,2)," ",RIGHT(J163,2)," ",RIGHT(K163,2)," ",RIGHT(L163,2)," ",RIGHT(M163,2)," ",RIGHT(N163,2)," ",RIGHT(O163,2)," ",RIGHT(P163,2)," ",RIGHT(Q163,2)," ",RIGHT(R163,2)," ",RIGHT(S163,2)," ",RIGHT(T163,2)," ",RIGHT(U163,2)," ",RIGHT(V163,2)," ",RIGHT(W163,2)," ",RIGHT(X163,2))</f>
        <v/>
      </c>
    </row>
    <row r="164">
      <c r="A164" s="222" t="n"/>
      <c r="B164" s="225" t="n"/>
      <c r="C164" s="160" t="inlineStr">
        <is>
          <t>Get</t>
        </is>
      </c>
      <c r="D164" s="160" t="inlineStr">
        <is>
          <t>55 43 49 12 00 10 04 85 00 01 00 00 00 00 00 00 00 01 00 00 00 C3 1C</t>
        </is>
      </c>
      <c r="E164" s="161" t="n"/>
      <c r="F164" s="191" t="n"/>
      <c r="G164" s="192" t="inlineStr">
        <is>
          <t>0x10</t>
        </is>
      </c>
      <c r="H164" s="178" t="inlineStr">
        <is>
          <t>0x04</t>
        </is>
      </c>
      <c r="I164" s="178" t="inlineStr">
        <is>
          <t>0x85</t>
        </is>
      </c>
      <c r="J164" s="178" t="inlineStr">
        <is>
          <t>0x00</t>
        </is>
      </c>
      <c r="K164" s="130" t="inlineStr">
        <is>
          <t>0x01</t>
        </is>
      </c>
      <c r="L164" s="178" t="inlineStr">
        <is>
          <t>0x00</t>
        </is>
      </c>
      <c r="M164" s="178" t="inlineStr">
        <is>
          <t>0x00</t>
        </is>
      </c>
      <c r="N164" s="178" t="inlineStr">
        <is>
          <t>0x00</t>
        </is>
      </c>
      <c r="O164" s="178" t="inlineStr">
        <is>
          <t>0x00</t>
        </is>
      </c>
      <c r="P164" s="178" t="inlineStr">
        <is>
          <t>0x00</t>
        </is>
      </c>
      <c r="Q164" s="178" t="inlineStr">
        <is>
          <t>0x00</t>
        </is>
      </c>
      <c r="R164" s="178" t="inlineStr">
        <is>
          <t>0x00</t>
        </is>
      </c>
      <c r="S164" s="178" t="inlineStr">
        <is>
          <t>0x01</t>
        </is>
      </c>
      <c r="T164" s="178" t="inlineStr">
        <is>
          <t>0x00</t>
        </is>
      </c>
      <c r="U164" s="178" t="inlineStr">
        <is>
          <t>0x00</t>
        </is>
      </c>
      <c r="V164" s="178" t="inlineStr">
        <is>
          <t>0x00</t>
        </is>
      </c>
      <c r="W164" s="180">
        <f>"0x"&amp;MID(D164,64,2)</f>
        <v/>
      </c>
      <c r="X164" s="180">
        <f>"0x"&amp;MID(D164,67,2)</f>
        <v/>
      </c>
      <c r="Y164" s="182">
        <f>CONCATENATE(RIGHT(G164,2)," ",RIGHT(H164,2)," ",RIGHT(I164,2)," ",RIGHT(J164,2)," ",RIGHT(K164,2)," ",RIGHT(L164,2)," ",RIGHT(M164,2)," ",RIGHT(N164,2)," ",RIGHT(O164,2)," ",RIGHT(P164,2)," ",RIGHT(Q164,2)," ",RIGHT(R164,2)," ",RIGHT(S164,2)," ",RIGHT(T164,2)," ",RIGHT(U164,2)," ",RIGHT(V164,2)," ",RIGHT(W164,2)," ",RIGHT(X164,2))</f>
        <v/>
      </c>
    </row>
    <row r="165">
      <c r="A165" s="222" t="n"/>
      <c r="B165" s="160" t="inlineStr">
        <is>
          <t>Brightness</t>
        </is>
      </c>
      <c r="C165" s="160" t="inlineStr">
        <is>
          <t>Settings - 0 Gear</t>
        </is>
      </c>
      <c r="D165" s="160" t="inlineStr">
        <is>
          <t>55 43 49 12 00 10 04 47 00 00 00 00 00 00 00 00 00 00 00 00 00 01 E3</t>
        </is>
      </c>
      <c r="E165" s="161" t="n"/>
      <c r="F165" s="191" t="n"/>
      <c r="G165" s="192" t="inlineStr">
        <is>
          <t>0x10</t>
        </is>
      </c>
      <c r="H165" s="178" t="inlineStr">
        <is>
          <t>0x04</t>
        </is>
      </c>
      <c r="I165" s="200" t="inlineStr">
        <is>
          <t>0x47</t>
        </is>
      </c>
      <c r="J165" s="178" t="inlineStr">
        <is>
          <t>0x00</t>
        </is>
      </c>
      <c r="K165" s="130" t="inlineStr">
        <is>
          <t>0x00</t>
        </is>
      </c>
      <c r="L165" s="178" t="inlineStr">
        <is>
          <t>0x00</t>
        </is>
      </c>
      <c r="M165" s="178" t="inlineStr">
        <is>
          <t>0x00</t>
        </is>
      </c>
      <c r="N165" s="178" t="inlineStr">
        <is>
          <t>0x00</t>
        </is>
      </c>
      <c r="O165" s="178" t="inlineStr">
        <is>
          <t>0x00</t>
        </is>
      </c>
      <c r="P165" s="178" t="inlineStr">
        <is>
          <t>0x00</t>
        </is>
      </c>
      <c r="Q165" s="178" t="inlineStr">
        <is>
          <t>0x00</t>
        </is>
      </c>
      <c r="R165" s="178" t="inlineStr">
        <is>
          <t>0x00</t>
        </is>
      </c>
      <c r="S165" s="178" t="inlineStr">
        <is>
          <t>0x00</t>
        </is>
      </c>
      <c r="T165" s="178" t="inlineStr">
        <is>
          <t>0x00</t>
        </is>
      </c>
      <c r="U165" s="178" t="inlineStr">
        <is>
          <t>0x00</t>
        </is>
      </c>
      <c r="V165" s="178" t="inlineStr">
        <is>
          <t>0x00</t>
        </is>
      </c>
      <c r="W165" s="180">
        <f>"0x"&amp;MID(D165,64,2)</f>
        <v/>
      </c>
      <c r="X165" s="180">
        <f>"0x"&amp;MID(D165,67,2)</f>
        <v/>
      </c>
      <c r="Y165" s="182">
        <f>CONCATENATE(RIGHT(G165,2)," ",RIGHT(H165,2)," ",RIGHT(I165,2)," ",RIGHT(J165,2)," ",RIGHT(K165,2)," ",RIGHT(L165,2)," ",RIGHT(M165,2)," ",RIGHT(N165,2)," ",RIGHT(O165,2)," ",RIGHT(P165,2)," ",RIGHT(Q165,2)," ",RIGHT(R165,2)," ",RIGHT(S165,2)," ",RIGHT(T165,2)," ",RIGHT(U165,2)," ",RIGHT(V165,2)," ",RIGHT(W165,2)," ",RIGHT(X165,2))</f>
        <v/>
      </c>
    </row>
    <row r="166">
      <c r="A166" s="222" t="n"/>
      <c r="B166" s="223" t="n"/>
      <c r="C166" s="160" t="inlineStr">
        <is>
          <t>Settings - 10 Gear</t>
        </is>
      </c>
      <c r="D166" s="160" t="inlineStr">
        <is>
          <t>55 43 49 12 00 10 04 47 00 0A 00 00 00 00 00 00 00 00 00 00 00 43 FE</t>
        </is>
      </c>
      <c r="E166" s="161" t="n"/>
      <c r="F166" s="191" t="n"/>
      <c r="G166" s="192" t="inlineStr">
        <is>
          <t>0x10</t>
        </is>
      </c>
      <c r="H166" s="178" t="inlineStr">
        <is>
          <t>0x04</t>
        </is>
      </c>
      <c r="I166" s="200" t="inlineStr">
        <is>
          <t>0x47</t>
        </is>
      </c>
      <c r="J166" s="178" t="inlineStr">
        <is>
          <t>0x00</t>
        </is>
      </c>
      <c r="K166" s="130" t="inlineStr">
        <is>
          <t>0x0A</t>
        </is>
      </c>
      <c r="L166" s="178" t="inlineStr">
        <is>
          <t>0x00</t>
        </is>
      </c>
      <c r="M166" s="178" t="inlineStr">
        <is>
          <t>0x00</t>
        </is>
      </c>
      <c r="N166" s="178" t="inlineStr">
        <is>
          <t>0x00</t>
        </is>
      </c>
      <c r="O166" s="178" t="inlineStr">
        <is>
          <t>0x00</t>
        </is>
      </c>
      <c r="P166" s="178" t="inlineStr">
        <is>
          <t>0x00</t>
        </is>
      </c>
      <c r="Q166" s="178" t="inlineStr">
        <is>
          <t>0x00</t>
        </is>
      </c>
      <c r="R166" s="178" t="inlineStr">
        <is>
          <t>0x00</t>
        </is>
      </c>
      <c r="S166" s="178" t="inlineStr">
        <is>
          <t>0x00</t>
        </is>
      </c>
      <c r="T166" s="178" t="inlineStr">
        <is>
          <t>0x00</t>
        </is>
      </c>
      <c r="U166" s="178" t="inlineStr">
        <is>
          <t>0x00</t>
        </is>
      </c>
      <c r="V166" s="178" t="inlineStr">
        <is>
          <t>0x00</t>
        </is>
      </c>
      <c r="W166" s="180">
        <f>"0x"&amp;MID(D166,64,2)</f>
        <v/>
      </c>
      <c r="X166" s="180">
        <f>"0x"&amp;MID(D166,67,2)</f>
        <v/>
      </c>
      <c r="Y166" s="182">
        <f>CONCATENATE(RIGHT(G166,2)," ",RIGHT(H166,2)," ",RIGHT(I166,2)," ",RIGHT(J166,2)," ",RIGHT(K166,2)," ",RIGHT(L166,2)," ",RIGHT(M166,2)," ",RIGHT(N166,2)," ",RIGHT(O166,2)," ",RIGHT(P166,2)," ",RIGHT(Q166,2)," ",RIGHT(R166,2)," ",RIGHT(S166,2)," ",RIGHT(T166,2)," ",RIGHT(U166,2)," ",RIGHT(V166,2)," ",RIGHT(W166,2)," ",RIGHT(X166,2))</f>
        <v/>
      </c>
    </row>
    <row r="167">
      <c r="A167" s="222" t="n"/>
      <c r="B167" s="223" t="n"/>
      <c r="C167" s="160" t="inlineStr">
        <is>
          <t>Settings - 20 Gear</t>
        </is>
      </c>
      <c r="D167" s="160" t="inlineStr">
        <is>
          <t>55 43 49 12 00 10 04 47 00 14 00 00 00 00 00 00 00 00 00 00 00 85 D9</t>
        </is>
      </c>
      <c r="E167" s="161" t="n"/>
      <c r="F167" s="191" t="n"/>
      <c r="G167" s="192" t="inlineStr">
        <is>
          <t>0x10</t>
        </is>
      </c>
      <c r="H167" s="178" t="inlineStr">
        <is>
          <t>0x04</t>
        </is>
      </c>
      <c r="I167" s="200" t="inlineStr">
        <is>
          <t>0x47</t>
        </is>
      </c>
      <c r="J167" s="178" t="inlineStr">
        <is>
          <t>0x00</t>
        </is>
      </c>
      <c r="K167" s="130" t="inlineStr">
        <is>
          <t>0x14</t>
        </is>
      </c>
      <c r="L167" s="178" t="inlineStr">
        <is>
          <t>0x00</t>
        </is>
      </c>
      <c r="M167" s="178" t="inlineStr">
        <is>
          <t>0x00</t>
        </is>
      </c>
      <c r="N167" s="178" t="inlineStr">
        <is>
          <t>0x00</t>
        </is>
      </c>
      <c r="O167" s="178" t="inlineStr">
        <is>
          <t>0x00</t>
        </is>
      </c>
      <c r="P167" s="178" t="inlineStr">
        <is>
          <t>0x00</t>
        </is>
      </c>
      <c r="Q167" s="178" t="inlineStr">
        <is>
          <t>0x00</t>
        </is>
      </c>
      <c r="R167" s="178" t="inlineStr">
        <is>
          <t>0x00</t>
        </is>
      </c>
      <c r="S167" s="178" t="inlineStr">
        <is>
          <t>0x00</t>
        </is>
      </c>
      <c r="T167" s="178" t="inlineStr">
        <is>
          <t>0x00</t>
        </is>
      </c>
      <c r="U167" s="178" t="inlineStr">
        <is>
          <t>0x00</t>
        </is>
      </c>
      <c r="V167" s="178" t="inlineStr">
        <is>
          <t>0x00</t>
        </is>
      </c>
      <c r="W167" s="180">
        <f>"0x"&amp;MID(D167,64,2)</f>
        <v/>
      </c>
      <c r="X167" s="180">
        <f>"0x"&amp;MID(D167,67,2)</f>
        <v/>
      </c>
      <c r="Y167" s="182">
        <f>CONCATENATE(RIGHT(G167,2)," ",RIGHT(H167,2)," ",RIGHT(I167,2)," ",RIGHT(J167,2)," ",RIGHT(K167,2)," ",RIGHT(L167,2)," ",RIGHT(M167,2)," ",RIGHT(N167,2)," ",RIGHT(O167,2)," ",RIGHT(P167,2)," ",RIGHT(Q167,2)," ",RIGHT(R167,2)," ",RIGHT(S167,2)," ",RIGHT(T167,2)," ",RIGHT(U167,2)," ",RIGHT(V167,2)," ",RIGHT(W167,2)," ",RIGHT(X167,2))</f>
        <v/>
      </c>
    </row>
    <row r="168">
      <c r="A168" s="222" t="n"/>
      <c r="B168" s="223" t="n"/>
      <c r="C168" s="160" t="inlineStr">
        <is>
          <t>Settings - 30 Gear</t>
        </is>
      </c>
      <c r="D168" s="160" t="inlineStr">
        <is>
          <t>55 43 49 12 00 10 04 47 00 1E 00 00 00 00 00 00 00 00 00 00 00 C7 C4</t>
        </is>
      </c>
      <c r="E168" s="161" t="n"/>
      <c r="F168" s="191" t="n"/>
      <c r="G168" s="192" t="inlineStr">
        <is>
          <t>0x10</t>
        </is>
      </c>
      <c r="H168" s="178" t="inlineStr">
        <is>
          <t>0x04</t>
        </is>
      </c>
      <c r="I168" s="200" t="inlineStr">
        <is>
          <t>0x47</t>
        </is>
      </c>
      <c r="J168" s="178" t="inlineStr">
        <is>
          <t>0x00</t>
        </is>
      </c>
      <c r="K168" s="130" t="inlineStr">
        <is>
          <t>0x1E</t>
        </is>
      </c>
      <c r="L168" s="178" t="inlineStr">
        <is>
          <t>0x00</t>
        </is>
      </c>
      <c r="M168" s="178" t="inlineStr">
        <is>
          <t>0x00</t>
        </is>
      </c>
      <c r="N168" s="178" t="inlineStr">
        <is>
          <t>0x00</t>
        </is>
      </c>
      <c r="O168" s="178" t="inlineStr">
        <is>
          <t>0x00</t>
        </is>
      </c>
      <c r="P168" s="178" t="inlineStr">
        <is>
          <t>0x00</t>
        </is>
      </c>
      <c r="Q168" s="178" t="inlineStr">
        <is>
          <t>0x00</t>
        </is>
      </c>
      <c r="R168" s="178" t="inlineStr">
        <is>
          <t>0x00</t>
        </is>
      </c>
      <c r="S168" s="178" t="inlineStr">
        <is>
          <t>0x00</t>
        </is>
      </c>
      <c r="T168" s="178" t="inlineStr">
        <is>
          <t>0x00</t>
        </is>
      </c>
      <c r="U168" s="178" t="inlineStr">
        <is>
          <t>0x00</t>
        </is>
      </c>
      <c r="V168" s="178" t="inlineStr">
        <is>
          <t>0x00</t>
        </is>
      </c>
      <c r="W168" s="180">
        <f>"0x"&amp;MID(D168,64,2)</f>
        <v/>
      </c>
      <c r="X168" s="180">
        <f>"0x"&amp;MID(D168,67,2)</f>
        <v/>
      </c>
      <c r="Y168" s="182">
        <f>CONCATENATE(RIGHT(G168,2)," ",RIGHT(H168,2)," ",RIGHT(I168,2)," ",RIGHT(J168,2)," ",RIGHT(K168,2)," ",RIGHT(L168,2)," ",RIGHT(M168,2)," ",RIGHT(N168,2)," ",RIGHT(O168,2)," ",RIGHT(P168,2)," ",RIGHT(Q168,2)," ",RIGHT(R168,2)," ",RIGHT(S168,2)," ",RIGHT(T168,2)," ",RIGHT(U168,2)," ",RIGHT(V168,2)," ",RIGHT(W168,2)," ",RIGHT(X168,2))</f>
        <v/>
      </c>
    </row>
    <row r="169">
      <c r="A169" s="222" t="n"/>
      <c r="B169" s="223" t="n"/>
      <c r="C169" s="160" t="inlineStr">
        <is>
          <t>Settings - 40 Gear</t>
        </is>
      </c>
      <c r="D169" s="160" t="inlineStr">
        <is>
          <t>55 43 49 12 00 10 04 47 00 28 00 00 00 00 00 00 00 00 00 00 00 09 96</t>
        </is>
      </c>
      <c r="E169" s="161" t="n"/>
      <c r="F169" s="191" t="n"/>
      <c r="G169" s="192" t="inlineStr">
        <is>
          <t>0x10</t>
        </is>
      </c>
      <c r="H169" s="178" t="inlineStr">
        <is>
          <t>0x04</t>
        </is>
      </c>
      <c r="I169" s="200" t="inlineStr">
        <is>
          <t>0x47</t>
        </is>
      </c>
      <c r="J169" s="178" t="inlineStr">
        <is>
          <t>0x00</t>
        </is>
      </c>
      <c r="K169" s="130" t="inlineStr">
        <is>
          <t>0x28</t>
        </is>
      </c>
      <c r="L169" s="178" t="inlineStr">
        <is>
          <t>0x00</t>
        </is>
      </c>
      <c r="M169" s="178" t="inlineStr">
        <is>
          <t>0x00</t>
        </is>
      </c>
      <c r="N169" s="178" t="inlineStr">
        <is>
          <t>0x00</t>
        </is>
      </c>
      <c r="O169" s="178" t="inlineStr">
        <is>
          <t>0x00</t>
        </is>
      </c>
      <c r="P169" s="178" t="inlineStr">
        <is>
          <t>0x00</t>
        </is>
      </c>
      <c r="Q169" s="178" t="inlineStr">
        <is>
          <t>0x00</t>
        </is>
      </c>
      <c r="R169" s="178" t="inlineStr">
        <is>
          <t>0x00</t>
        </is>
      </c>
      <c r="S169" s="178" t="inlineStr">
        <is>
          <t>0x00</t>
        </is>
      </c>
      <c r="T169" s="178" t="inlineStr">
        <is>
          <t>0x00</t>
        </is>
      </c>
      <c r="U169" s="178" t="inlineStr">
        <is>
          <t>0x00</t>
        </is>
      </c>
      <c r="V169" s="178" t="inlineStr">
        <is>
          <t>0x00</t>
        </is>
      </c>
      <c r="W169" s="180">
        <f>"0x"&amp;MID(D169,64,2)</f>
        <v/>
      </c>
      <c r="X169" s="180">
        <f>"0x"&amp;MID(D169,67,2)</f>
        <v/>
      </c>
      <c r="Y169" s="182">
        <f>CONCATENATE(RIGHT(G169,2)," ",RIGHT(H169,2)," ",RIGHT(I169,2)," ",RIGHT(J169,2)," ",RIGHT(K169,2)," ",RIGHT(L169,2)," ",RIGHT(M169,2)," ",RIGHT(N169,2)," ",RIGHT(O169,2)," ",RIGHT(P169,2)," ",RIGHT(Q169,2)," ",RIGHT(R169,2)," ",RIGHT(S169,2)," ",RIGHT(T169,2)," ",RIGHT(U169,2)," ",RIGHT(V169,2)," ",RIGHT(W169,2)," ",RIGHT(X169,2))</f>
        <v/>
      </c>
    </row>
    <row r="170">
      <c r="A170" s="222" t="n"/>
      <c r="B170" s="223" t="n"/>
      <c r="C170" s="160" t="inlineStr">
        <is>
          <t>Settings - 50 Gear</t>
        </is>
      </c>
      <c r="D170" s="160" t="inlineStr">
        <is>
          <t>55 43 49 12 00 10 04 47 00 32 00 00 00 00 00 00 00 00 00 00 00 1B BC</t>
        </is>
      </c>
      <c r="E170" s="161" t="n"/>
      <c r="F170" s="191" t="n"/>
      <c r="G170" s="192" t="inlineStr">
        <is>
          <t>0x10</t>
        </is>
      </c>
      <c r="H170" s="178" t="inlineStr">
        <is>
          <t>0x04</t>
        </is>
      </c>
      <c r="I170" s="200" t="inlineStr">
        <is>
          <t>0x47</t>
        </is>
      </c>
      <c r="J170" s="178" t="inlineStr">
        <is>
          <t>0x00</t>
        </is>
      </c>
      <c r="K170" s="130" t="inlineStr">
        <is>
          <t>0x32</t>
        </is>
      </c>
      <c r="L170" s="178" t="inlineStr">
        <is>
          <t>0x00</t>
        </is>
      </c>
      <c r="M170" s="178" t="inlineStr">
        <is>
          <t>0x00</t>
        </is>
      </c>
      <c r="N170" s="178" t="inlineStr">
        <is>
          <t>0x00</t>
        </is>
      </c>
      <c r="O170" s="178" t="inlineStr">
        <is>
          <t>0x00</t>
        </is>
      </c>
      <c r="P170" s="178" t="inlineStr">
        <is>
          <t>0x00</t>
        </is>
      </c>
      <c r="Q170" s="178" t="inlineStr">
        <is>
          <t>0x00</t>
        </is>
      </c>
      <c r="R170" s="178" t="inlineStr">
        <is>
          <t>0x00</t>
        </is>
      </c>
      <c r="S170" s="178" t="inlineStr">
        <is>
          <t>0x00</t>
        </is>
      </c>
      <c r="T170" s="178" t="inlineStr">
        <is>
          <t>0x00</t>
        </is>
      </c>
      <c r="U170" s="178" t="inlineStr">
        <is>
          <t>0x00</t>
        </is>
      </c>
      <c r="V170" s="178" t="inlineStr">
        <is>
          <t>0x00</t>
        </is>
      </c>
      <c r="W170" s="180">
        <f>"0x"&amp;MID(D170,64,2)</f>
        <v/>
      </c>
      <c r="X170" s="180">
        <f>"0x"&amp;MID(D170,67,2)</f>
        <v/>
      </c>
      <c r="Y170" s="182">
        <f>CONCATENATE(RIGHT(G170,2)," ",RIGHT(H170,2)," ",RIGHT(I170,2)," ",RIGHT(J170,2)," ",RIGHT(K170,2)," ",RIGHT(L170,2)," ",RIGHT(M170,2)," ",RIGHT(N170,2)," ",RIGHT(O170,2)," ",RIGHT(P170,2)," ",RIGHT(Q170,2)," ",RIGHT(R170,2)," ",RIGHT(S170,2)," ",RIGHT(T170,2)," ",RIGHT(U170,2)," ",RIGHT(V170,2)," ",RIGHT(W170,2)," ",RIGHT(X170,2))</f>
        <v/>
      </c>
    </row>
    <row r="171">
      <c r="A171" s="222" t="n"/>
      <c r="B171" s="223" t="n"/>
      <c r="C171" s="160" t="inlineStr">
        <is>
          <t>Settings - 60 Gear</t>
        </is>
      </c>
      <c r="D171" s="160" t="inlineStr">
        <is>
          <t>55 43 49 12 00 10 04 47 00 3C 00 00 00 00 00 00 00 00 00 00 00 8D AC</t>
        </is>
      </c>
      <c r="E171" s="161" t="n"/>
      <c r="F171" s="191" t="n"/>
      <c r="G171" s="192" t="inlineStr">
        <is>
          <t>0x10</t>
        </is>
      </c>
      <c r="H171" s="178" t="inlineStr">
        <is>
          <t>0x04</t>
        </is>
      </c>
      <c r="I171" s="200" t="inlineStr">
        <is>
          <t>0x47</t>
        </is>
      </c>
      <c r="J171" s="178" t="inlineStr">
        <is>
          <t>0x00</t>
        </is>
      </c>
      <c r="K171" s="130" t="inlineStr">
        <is>
          <t>0x3C</t>
        </is>
      </c>
      <c r="L171" s="178" t="inlineStr">
        <is>
          <t>0x00</t>
        </is>
      </c>
      <c r="M171" s="178" t="inlineStr">
        <is>
          <t>0x00</t>
        </is>
      </c>
      <c r="N171" s="178" t="inlineStr">
        <is>
          <t>0x00</t>
        </is>
      </c>
      <c r="O171" s="178" t="inlineStr">
        <is>
          <t>0x00</t>
        </is>
      </c>
      <c r="P171" s="178" t="inlineStr">
        <is>
          <t>0x00</t>
        </is>
      </c>
      <c r="Q171" s="178" t="inlineStr">
        <is>
          <t>0x00</t>
        </is>
      </c>
      <c r="R171" s="178" t="inlineStr">
        <is>
          <t>0x00</t>
        </is>
      </c>
      <c r="S171" s="178" t="inlineStr">
        <is>
          <t>0x00</t>
        </is>
      </c>
      <c r="T171" s="178" t="inlineStr">
        <is>
          <t>0x00</t>
        </is>
      </c>
      <c r="U171" s="178" t="inlineStr">
        <is>
          <t>0x00</t>
        </is>
      </c>
      <c r="V171" s="178" t="inlineStr">
        <is>
          <t>0x00</t>
        </is>
      </c>
      <c r="W171" s="180">
        <f>"0x"&amp;MID(D171,64,2)</f>
        <v/>
      </c>
      <c r="X171" s="180">
        <f>"0x"&amp;MID(D171,67,2)</f>
        <v/>
      </c>
      <c r="Y171" s="182">
        <f>CONCATENATE(RIGHT(G171,2)," ",RIGHT(H171,2)," ",RIGHT(I171,2)," ",RIGHT(J171,2)," ",RIGHT(K171,2)," ",RIGHT(L171,2)," ",RIGHT(M171,2)," ",RIGHT(N171,2)," ",RIGHT(O171,2)," ",RIGHT(P171,2)," ",RIGHT(Q171,2)," ",RIGHT(R171,2)," ",RIGHT(S171,2)," ",RIGHT(T171,2)," ",RIGHT(U171,2)," ",RIGHT(V171,2)," ",RIGHT(W171,2)," ",RIGHT(X171,2))</f>
        <v/>
      </c>
    </row>
    <row r="172">
      <c r="A172" s="222" t="n"/>
      <c r="B172" s="223" t="n"/>
      <c r="C172" s="160" t="inlineStr">
        <is>
          <t>Settings - 70 Gear</t>
        </is>
      </c>
      <c r="D172" s="160" t="inlineStr">
        <is>
          <t>55 43 49 12 00 10 04 47 00 46 00 00 00 00 00 00 00 00 00 00 00 7F 35</t>
        </is>
      </c>
      <c r="E172" s="161" t="n"/>
      <c r="F172" s="191" t="n"/>
      <c r="G172" s="192" t="inlineStr">
        <is>
          <t>0x10</t>
        </is>
      </c>
      <c r="H172" s="178" t="inlineStr">
        <is>
          <t>0x04</t>
        </is>
      </c>
      <c r="I172" s="200" t="inlineStr">
        <is>
          <t>0x47</t>
        </is>
      </c>
      <c r="J172" s="178" t="inlineStr">
        <is>
          <t>0x00</t>
        </is>
      </c>
      <c r="K172" s="130" t="inlineStr">
        <is>
          <t>0x46</t>
        </is>
      </c>
      <c r="L172" s="178" t="inlineStr">
        <is>
          <t>0x00</t>
        </is>
      </c>
      <c r="M172" s="178" t="inlineStr">
        <is>
          <t>0x00</t>
        </is>
      </c>
      <c r="N172" s="178" t="inlineStr">
        <is>
          <t>0x00</t>
        </is>
      </c>
      <c r="O172" s="178" t="inlineStr">
        <is>
          <t>0x00</t>
        </is>
      </c>
      <c r="P172" s="178" t="inlineStr">
        <is>
          <t>0x00</t>
        </is>
      </c>
      <c r="Q172" s="178" t="inlineStr">
        <is>
          <t>0x00</t>
        </is>
      </c>
      <c r="R172" s="178" t="inlineStr">
        <is>
          <t>0x00</t>
        </is>
      </c>
      <c r="S172" s="178" t="inlineStr">
        <is>
          <t>0x00</t>
        </is>
      </c>
      <c r="T172" s="178" t="inlineStr">
        <is>
          <t>0x00</t>
        </is>
      </c>
      <c r="U172" s="178" t="inlineStr">
        <is>
          <t>0x00</t>
        </is>
      </c>
      <c r="V172" s="178" t="inlineStr">
        <is>
          <t>0x00</t>
        </is>
      </c>
      <c r="W172" s="180">
        <f>"0x"&amp;MID(D172,64,2)</f>
        <v/>
      </c>
      <c r="X172" s="180">
        <f>"0x"&amp;MID(D172,67,2)</f>
        <v/>
      </c>
      <c r="Y172" s="182">
        <f>CONCATENATE(RIGHT(G172,2)," ",RIGHT(H172,2)," ",RIGHT(I172,2)," ",RIGHT(J172,2)," ",RIGHT(K172,2)," ",RIGHT(L172,2)," ",RIGHT(M172,2)," ",RIGHT(N172,2)," ",RIGHT(O172,2)," ",RIGHT(P172,2)," ",RIGHT(Q172,2)," ",RIGHT(R172,2)," ",RIGHT(S172,2)," ",RIGHT(T172,2)," ",RIGHT(U172,2)," ",RIGHT(V172,2)," ",RIGHT(W172,2)," ",RIGHT(X172,2))</f>
        <v/>
      </c>
    </row>
    <row r="173">
      <c r="A173" s="222" t="n"/>
      <c r="B173" s="223" t="n"/>
      <c r="C173" s="160" t="inlineStr">
        <is>
          <t>Settings - 80 Gear</t>
        </is>
      </c>
      <c r="D173" s="160" t="inlineStr">
        <is>
          <t>55 43 49 12 00 10 04 47 00 50 00 00 00 00 00 00 00 00 00 00 00 11 09</t>
        </is>
      </c>
      <c r="E173" s="161" t="n"/>
      <c r="F173" s="191" t="n"/>
      <c r="G173" s="192" t="inlineStr">
        <is>
          <t>0x10</t>
        </is>
      </c>
      <c r="H173" s="178" t="inlineStr">
        <is>
          <t>0x04</t>
        </is>
      </c>
      <c r="I173" s="200" t="inlineStr">
        <is>
          <t>0x47</t>
        </is>
      </c>
      <c r="J173" s="178" t="inlineStr">
        <is>
          <t>0x00</t>
        </is>
      </c>
      <c r="K173" s="130" t="inlineStr">
        <is>
          <t>0x50</t>
        </is>
      </c>
      <c r="L173" s="178" t="inlineStr">
        <is>
          <t>0x00</t>
        </is>
      </c>
      <c r="M173" s="178" t="inlineStr">
        <is>
          <t>0x00</t>
        </is>
      </c>
      <c r="N173" s="178" t="inlineStr">
        <is>
          <t>0x00</t>
        </is>
      </c>
      <c r="O173" s="178" t="inlineStr">
        <is>
          <t>0x00</t>
        </is>
      </c>
      <c r="P173" s="178" t="inlineStr">
        <is>
          <t>0x00</t>
        </is>
      </c>
      <c r="Q173" s="178" t="inlineStr">
        <is>
          <t>0x00</t>
        </is>
      </c>
      <c r="R173" s="178" t="inlineStr">
        <is>
          <t>0x00</t>
        </is>
      </c>
      <c r="S173" s="178" t="inlineStr">
        <is>
          <t>0x00</t>
        </is>
      </c>
      <c r="T173" s="178" t="inlineStr">
        <is>
          <t>0x00</t>
        </is>
      </c>
      <c r="U173" s="178" t="inlineStr">
        <is>
          <t>0x00</t>
        </is>
      </c>
      <c r="V173" s="178" t="inlineStr">
        <is>
          <t>0x00</t>
        </is>
      </c>
      <c r="W173" s="180">
        <f>"0x"&amp;MID(D173,64,2)</f>
        <v/>
      </c>
      <c r="X173" s="180">
        <f>"0x"&amp;MID(D173,67,2)</f>
        <v/>
      </c>
      <c r="Y173" s="182">
        <f>CONCATENATE(RIGHT(G173,2)," ",RIGHT(H173,2)," ",RIGHT(I173,2)," ",RIGHT(J173,2)," ",RIGHT(K173,2)," ",RIGHT(L173,2)," ",RIGHT(M173,2)," ",RIGHT(N173,2)," ",RIGHT(O173,2)," ",RIGHT(P173,2)," ",RIGHT(Q173,2)," ",RIGHT(R173,2)," ",RIGHT(S173,2)," ",RIGHT(T173,2)," ",RIGHT(U173,2)," ",RIGHT(V173,2)," ",RIGHT(W173,2)," ",RIGHT(X173,2))</f>
        <v/>
      </c>
    </row>
    <row r="174">
      <c r="A174" s="222" t="n"/>
      <c r="B174" s="223" t="n"/>
      <c r="C174" s="160" t="inlineStr">
        <is>
          <t>Settings - 90 Gear</t>
        </is>
      </c>
      <c r="D174" s="160" t="inlineStr">
        <is>
          <t>55 43 49 12 00 10 04 47 00 5A 00 00 00 00 00 00 00 00 00 00 00 53 14</t>
        </is>
      </c>
      <c r="E174" s="161" t="n"/>
      <c r="F174" s="191" t="n"/>
      <c r="G174" s="192" t="inlineStr">
        <is>
          <t>0x10</t>
        </is>
      </c>
      <c r="H174" s="178" t="inlineStr">
        <is>
          <t>0x04</t>
        </is>
      </c>
      <c r="I174" s="200" t="inlineStr">
        <is>
          <t>0x47</t>
        </is>
      </c>
      <c r="J174" s="178" t="inlineStr">
        <is>
          <t>0x00</t>
        </is>
      </c>
      <c r="K174" s="130" t="inlineStr">
        <is>
          <t>0x5A</t>
        </is>
      </c>
      <c r="L174" s="178" t="inlineStr">
        <is>
          <t>0x00</t>
        </is>
      </c>
      <c r="M174" s="178" t="inlineStr">
        <is>
          <t>0x00</t>
        </is>
      </c>
      <c r="N174" s="178" t="inlineStr">
        <is>
          <t>0x00</t>
        </is>
      </c>
      <c r="O174" s="178" t="inlineStr">
        <is>
          <t>0x00</t>
        </is>
      </c>
      <c r="P174" s="178" t="inlineStr">
        <is>
          <t>0x00</t>
        </is>
      </c>
      <c r="Q174" s="178" t="inlineStr">
        <is>
          <t>0x00</t>
        </is>
      </c>
      <c r="R174" s="178" t="inlineStr">
        <is>
          <t>0x00</t>
        </is>
      </c>
      <c r="S174" s="178" t="inlineStr">
        <is>
          <t>0x00</t>
        </is>
      </c>
      <c r="T174" s="178" t="inlineStr">
        <is>
          <t>0x00</t>
        </is>
      </c>
      <c r="U174" s="178" t="inlineStr">
        <is>
          <t>0x00</t>
        </is>
      </c>
      <c r="V174" s="178" t="inlineStr">
        <is>
          <t>0x00</t>
        </is>
      </c>
      <c r="W174" s="180">
        <f>"0x"&amp;MID(D174,64,2)</f>
        <v/>
      </c>
      <c r="X174" s="180">
        <f>"0x"&amp;MID(D174,67,2)</f>
        <v/>
      </c>
      <c r="Y174" s="182">
        <f>CONCATENATE(RIGHT(G174,2)," ",RIGHT(H174,2)," ",RIGHT(I174,2)," ",RIGHT(J174,2)," ",RIGHT(K174,2)," ",RIGHT(L174,2)," ",RIGHT(M174,2)," ",RIGHT(N174,2)," ",RIGHT(O174,2)," ",RIGHT(P174,2)," ",RIGHT(Q174,2)," ",RIGHT(R174,2)," ",RIGHT(S174,2)," ",RIGHT(T174,2)," ",RIGHT(U174,2)," ",RIGHT(V174,2)," ",RIGHT(W174,2)," ",RIGHT(X174,2))</f>
        <v/>
      </c>
    </row>
    <row r="175">
      <c r="A175" s="222" t="n"/>
      <c r="B175" s="223" t="n"/>
      <c r="C175" s="160" t="inlineStr">
        <is>
          <t>Settings - 100 Gear</t>
        </is>
      </c>
      <c r="D175" s="160" t="inlineStr">
        <is>
          <t>55 43 49 12 00 10 04 47 00 64 00 00 00 00 00 00 00 00 00 00 00 35 5D</t>
        </is>
      </c>
      <c r="E175" s="161" t="n"/>
      <c r="F175" s="191" t="n"/>
      <c r="G175" s="192" t="inlineStr">
        <is>
          <t>0x10</t>
        </is>
      </c>
      <c r="H175" s="178" t="inlineStr">
        <is>
          <t>0x04</t>
        </is>
      </c>
      <c r="I175" s="200" t="inlineStr">
        <is>
          <t>0x47</t>
        </is>
      </c>
      <c r="J175" s="178" t="inlineStr">
        <is>
          <t>0x00</t>
        </is>
      </c>
      <c r="K175" s="130" t="inlineStr">
        <is>
          <t>0x64</t>
        </is>
      </c>
      <c r="L175" s="178" t="inlineStr">
        <is>
          <t>0x00</t>
        </is>
      </c>
      <c r="M175" s="178" t="inlineStr">
        <is>
          <t>0x00</t>
        </is>
      </c>
      <c r="N175" s="178" t="inlineStr">
        <is>
          <t>0x00</t>
        </is>
      </c>
      <c r="O175" s="178" t="inlineStr">
        <is>
          <t>0x00</t>
        </is>
      </c>
      <c r="P175" s="178" t="inlineStr">
        <is>
          <t>0x00</t>
        </is>
      </c>
      <c r="Q175" s="178" t="inlineStr">
        <is>
          <t>0x00</t>
        </is>
      </c>
      <c r="R175" s="178" t="inlineStr">
        <is>
          <t>0x00</t>
        </is>
      </c>
      <c r="S175" s="178" t="inlineStr">
        <is>
          <t>0x00</t>
        </is>
      </c>
      <c r="T175" s="178" t="inlineStr">
        <is>
          <t>0x00</t>
        </is>
      </c>
      <c r="U175" s="178" t="inlineStr">
        <is>
          <t>0x00</t>
        </is>
      </c>
      <c r="V175" s="178" t="inlineStr">
        <is>
          <t>0x00</t>
        </is>
      </c>
      <c r="W175" s="180">
        <f>"0x"&amp;MID(D175,64,2)</f>
        <v/>
      </c>
      <c r="X175" s="180">
        <f>"0x"&amp;MID(D175,67,2)</f>
        <v/>
      </c>
      <c r="Y175" s="182">
        <f>CONCATENATE(RIGHT(G175,2)," ",RIGHT(H175,2)," ",RIGHT(I175,2)," ",RIGHT(J175,2)," ",RIGHT(K175,2)," ",RIGHT(L175,2)," ",RIGHT(M175,2)," ",RIGHT(N175,2)," ",RIGHT(O175,2)," ",RIGHT(P175,2)," ",RIGHT(Q175,2)," ",RIGHT(R175,2)," ",RIGHT(S175,2)," ",RIGHT(T175,2)," ",RIGHT(U175,2)," ",RIGHT(V175,2)," ",RIGHT(W175,2)," ",RIGHT(X175,2))</f>
        <v/>
      </c>
    </row>
    <row r="176">
      <c r="A176" s="222" t="n"/>
      <c r="B176" s="225" t="n"/>
      <c r="C176" s="160" t="inlineStr">
        <is>
          <t>Get</t>
        </is>
      </c>
      <c r="D176" s="160" t="inlineStr">
        <is>
          <t>55 43 49 12 00 10 04 87 00 01 00 00 00 00 00 00 00 01 00 00 00 01 EA</t>
        </is>
      </c>
      <c r="E176" s="161" t="n"/>
      <c r="F176" s="191" t="n"/>
      <c r="G176" s="192" t="inlineStr">
        <is>
          <t>0x10</t>
        </is>
      </c>
      <c r="H176" s="178" t="inlineStr">
        <is>
          <t>0x04</t>
        </is>
      </c>
      <c r="I176" s="200" t="inlineStr">
        <is>
          <t>0x87</t>
        </is>
      </c>
      <c r="J176" s="178" t="inlineStr">
        <is>
          <t>0x00</t>
        </is>
      </c>
      <c r="K176" s="130" t="inlineStr">
        <is>
          <t>0x01</t>
        </is>
      </c>
      <c r="L176" s="178" t="inlineStr">
        <is>
          <t>0x00</t>
        </is>
      </c>
      <c r="M176" s="178" t="inlineStr">
        <is>
          <t>0x00</t>
        </is>
      </c>
      <c r="N176" s="178" t="inlineStr">
        <is>
          <t>0x00</t>
        </is>
      </c>
      <c r="O176" s="178" t="inlineStr">
        <is>
          <t>0x00</t>
        </is>
      </c>
      <c r="P176" s="178" t="inlineStr">
        <is>
          <t>0x00</t>
        </is>
      </c>
      <c r="Q176" s="178" t="inlineStr">
        <is>
          <t>0x00</t>
        </is>
      </c>
      <c r="R176" s="178" t="inlineStr">
        <is>
          <t>0x00</t>
        </is>
      </c>
      <c r="S176" s="178" t="inlineStr">
        <is>
          <t>0x01</t>
        </is>
      </c>
      <c r="T176" s="178" t="inlineStr">
        <is>
          <t>0x00</t>
        </is>
      </c>
      <c r="U176" s="178" t="inlineStr">
        <is>
          <t>0x00</t>
        </is>
      </c>
      <c r="V176" s="178" t="inlineStr">
        <is>
          <t>0x00</t>
        </is>
      </c>
      <c r="W176" s="180">
        <f>"0x"&amp;MID(D176,64,2)</f>
        <v/>
      </c>
      <c r="X176" s="180">
        <f>"0x"&amp;MID(D176,67,2)</f>
        <v/>
      </c>
      <c r="Y176" s="182">
        <f>CONCATENATE(RIGHT(G176,2)," ",RIGHT(H176,2)," ",RIGHT(I176,2)," ",RIGHT(J176,2)," ",RIGHT(K176,2)," ",RIGHT(L176,2)," ",RIGHT(M176,2)," ",RIGHT(N176,2)," ",RIGHT(O176,2)," ",RIGHT(P176,2)," ",RIGHT(Q176,2)," ",RIGHT(R176,2)," ",RIGHT(S176,2)," ",RIGHT(T176,2)," ",RIGHT(U176,2)," ",RIGHT(V176,2)," ",RIGHT(W176,2)," ",RIGHT(X176,2))</f>
        <v/>
      </c>
    </row>
    <row r="177" ht="15.75" customHeight="1" s="17">
      <c r="A177" s="222" t="n"/>
      <c r="B177" s="160" t="inlineStr">
        <is>
          <t>Contrast</t>
        </is>
      </c>
      <c r="C177" s="160" t="inlineStr">
        <is>
          <t>Settings - 0 Gear</t>
        </is>
      </c>
      <c r="D177" s="160" t="inlineStr">
        <is>
          <t>55 43 49 12 00 10 04 4A 00 00 00 00 00 00 00 00 00 00 00 00 00 AE 8E</t>
        </is>
      </c>
      <c r="E177" s="161" t="n"/>
      <c r="F177" s="191" t="n"/>
      <c r="G177" s="192" t="inlineStr">
        <is>
          <t>0x10</t>
        </is>
      </c>
      <c r="H177" s="178" t="inlineStr">
        <is>
          <t>0x04</t>
        </is>
      </c>
      <c r="I177" s="199" t="inlineStr">
        <is>
          <t>0x4A</t>
        </is>
      </c>
      <c r="J177" s="178" t="inlineStr">
        <is>
          <t>0x00</t>
        </is>
      </c>
      <c r="K177" s="130" t="inlineStr">
        <is>
          <t>0x00</t>
        </is>
      </c>
      <c r="L177" s="178" t="inlineStr">
        <is>
          <t>0x00</t>
        </is>
      </c>
      <c r="M177" s="178" t="inlineStr">
        <is>
          <t>0x00</t>
        </is>
      </c>
      <c r="N177" s="178" t="inlineStr">
        <is>
          <t>0x00</t>
        </is>
      </c>
      <c r="O177" s="178" t="inlineStr">
        <is>
          <t>0x00</t>
        </is>
      </c>
      <c r="P177" s="178" t="inlineStr">
        <is>
          <t>0x00</t>
        </is>
      </c>
      <c r="Q177" s="178" t="inlineStr">
        <is>
          <t>0x00</t>
        </is>
      </c>
      <c r="R177" s="178" t="inlineStr">
        <is>
          <t>0x00</t>
        </is>
      </c>
      <c r="S177" s="178" t="inlineStr">
        <is>
          <t>0x00</t>
        </is>
      </c>
      <c r="T177" s="178" t="inlineStr">
        <is>
          <t>0x00</t>
        </is>
      </c>
      <c r="U177" s="178" t="inlineStr">
        <is>
          <t>0x00</t>
        </is>
      </c>
      <c r="V177" s="178" t="inlineStr">
        <is>
          <t>0x00</t>
        </is>
      </c>
      <c r="W177" s="180">
        <f>"0x"&amp;MID(D177,64,2)</f>
        <v/>
      </c>
      <c r="X177" s="180">
        <f>"0x"&amp;MID(D177,67,2)</f>
        <v/>
      </c>
      <c r="Y177" s="182">
        <f>CONCATENATE(RIGHT(G177,2)," ",RIGHT(H177,2)," ",RIGHT(I177,2)," ",RIGHT(J177,2)," ",RIGHT(K177,2)," ",RIGHT(L177,2)," ",RIGHT(M177,2)," ",RIGHT(N177,2)," ",RIGHT(O177,2)," ",RIGHT(P177,2)," ",RIGHT(Q177,2)," ",RIGHT(R177,2)," ",RIGHT(S177,2)," ",RIGHT(T177,2)," ",RIGHT(U177,2)," ",RIGHT(V177,2)," ",RIGHT(W177,2)," ",RIGHT(X177,2))</f>
        <v/>
      </c>
    </row>
    <row r="178" ht="15.75" customHeight="1" s="17">
      <c r="A178" s="222" t="n"/>
      <c r="B178" s="223" t="n"/>
      <c r="C178" s="160" t="inlineStr">
        <is>
          <t>Settings - 10 Gear</t>
        </is>
      </c>
      <c r="D178" s="160" t="inlineStr">
        <is>
          <t>55 43 49 12 00 10 04 4A 00 0A 00 00 00 00 00 00 00 00 00 00 00 EC 93</t>
        </is>
      </c>
      <c r="E178" s="161" t="n"/>
      <c r="F178" s="191" t="n"/>
      <c r="G178" s="192" t="inlineStr">
        <is>
          <t>0x10</t>
        </is>
      </c>
      <c r="H178" s="178" t="inlineStr">
        <is>
          <t>0x04</t>
        </is>
      </c>
      <c r="I178" s="199" t="inlineStr">
        <is>
          <t>0x4A</t>
        </is>
      </c>
      <c r="J178" s="178" t="inlineStr">
        <is>
          <t>0x00</t>
        </is>
      </c>
      <c r="K178" s="130" t="inlineStr">
        <is>
          <t>0x0A</t>
        </is>
      </c>
      <c r="L178" s="178" t="inlineStr">
        <is>
          <t>0x00</t>
        </is>
      </c>
      <c r="M178" s="178" t="inlineStr">
        <is>
          <t>0x00</t>
        </is>
      </c>
      <c r="N178" s="178" t="inlineStr">
        <is>
          <t>0x00</t>
        </is>
      </c>
      <c r="O178" s="178" t="inlineStr">
        <is>
          <t>0x00</t>
        </is>
      </c>
      <c r="P178" s="178" t="inlineStr">
        <is>
          <t>0x00</t>
        </is>
      </c>
      <c r="Q178" s="178" t="inlineStr">
        <is>
          <t>0x00</t>
        </is>
      </c>
      <c r="R178" s="178" t="inlineStr">
        <is>
          <t>0x00</t>
        </is>
      </c>
      <c r="S178" s="178" t="inlineStr">
        <is>
          <t>0x00</t>
        </is>
      </c>
      <c r="T178" s="178" t="inlineStr">
        <is>
          <t>0x00</t>
        </is>
      </c>
      <c r="U178" s="178" t="inlineStr">
        <is>
          <t>0x00</t>
        </is>
      </c>
      <c r="V178" s="178" t="inlineStr">
        <is>
          <t>0x00</t>
        </is>
      </c>
      <c r="W178" s="180">
        <f>"0x"&amp;MID(D178,64,2)</f>
        <v/>
      </c>
      <c r="X178" s="180">
        <f>"0x"&amp;MID(D178,67,2)</f>
        <v/>
      </c>
      <c r="Y178" s="182">
        <f>CONCATENATE(RIGHT(G178,2)," ",RIGHT(H178,2)," ",RIGHT(I178,2)," ",RIGHT(J178,2)," ",RIGHT(K178,2)," ",RIGHT(L178,2)," ",RIGHT(M178,2)," ",RIGHT(N178,2)," ",RIGHT(O178,2)," ",RIGHT(P178,2)," ",RIGHT(Q178,2)," ",RIGHT(R178,2)," ",RIGHT(S178,2)," ",RIGHT(T178,2)," ",RIGHT(U178,2)," ",RIGHT(V178,2)," ",RIGHT(W178,2)," ",RIGHT(X178,2))</f>
        <v/>
      </c>
    </row>
    <row r="179" ht="15.75" customHeight="1" s="17">
      <c r="A179" s="222" t="n"/>
      <c r="B179" s="223" t="n"/>
      <c r="C179" s="160" t="inlineStr">
        <is>
          <t>Settings - 20 Gear</t>
        </is>
      </c>
      <c r="D179" s="160" t="inlineStr">
        <is>
          <t>55 43 49 12 00 10 04 4A 00 14 00 00 00 00 00 00 00 00 00 00 00 2A B4</t>
        </is>
      </c>
      <c r="E179" s="161" t="n"/>
      <c r="F179" s="191" t="n"/>
      <c r="G179" s="192" t="inlineStr">
        <is>
          <t>0x10</t>
        </is>
      </c>
      <c r="H179" s="178" t="inlineStr">
        <is>
          <t>0x04</t>
        </is>
      </c>
      <c r="I179" s="199" t="inlineStr">
        <is>
          <t>0x4A</t>
        </is>
      </c>
      <c r="J179" s="178" t="inlineStr">
        <is>
          <t>0x00</t>
        </is>
      </c>
      <c r="K179" s="130" t="inlineStr">
        <is>
          <t>0x14</t>
        </is>
      </c>
      <c r="L179" s="178" t="inlineStr">
        <is>
          <t>0x00</t>
        </is>
      </c>
      <c r="M179" s="178" t="inlineStr">
        <is>
          <t>0x00</t>
        </is>
      </c>
      <c r="N179" s="178" t="inlineStr">
        <is>
          <t>0x00</t>
        </is>
      </c>
      <c r="O179" s="178" t="inlineStr">
        <is>
          <t>0x00</t>
        </is>
      </c>
      <c r="P179" s="178" t="inlineStr">
        <is>
          <t>0x00</t>
        </is>
      </c>
      <c r="Q179" s="178" t="inlineStr">
        <is>
          <t>0x00</t>
        </is>
      </c>
      <c r="R179" s="178" t="inlineStr">
        <is>
          <t>0x00</t>
        </is>
      </c>
      <c r="S179" s="178" t="inlineStr">
        <is>
          <t>0x00</t>
        </is>
      </c>
      <c r="T179" s="178" t="inlineStr">
        <is>
          <t>0x00</t>
        </is>
      </c>
      <c r="U179" s="178" t="inlineStr">
        <is>
          <t>0x00</t>
        </is>
      </c>
      <c r="V179" s="178" t="inlineStr">
        <is>
          <t>0x00</t>
        </is>
      </c>
      <c r="W179" s="180">
        <f>"0x"&amp;MID(D179,64,2)</f>
        <v/>
      </c>
      <c r="X179" s="180">
        <f>"0x"&amp;MID(D179,67,2)</f>
        <v/>
      </c>
      <c r="Y179" s="182">
        <f>CONCATENATE(RIGHT(G179,2)," ",RIGHT(H179,2)," ",RIGHT(I179,2)," ",RIGHT(J179,2)," ",RIGHT(K179,2)," ",RIGHT(L179,2)," ",RIGHT(M179,2)," ",RIGHT(N179,2)," ",RIGHT(O179,2)," ",RIGHT(P179,2)," ",RIGHT(Q179,2)," ",RIGHT(R179,2)," ",RIGHT(S179,2)," ",RIGHT(T179,2)," ",RIGHT(U179,2)," ",RIGHT(V179,2)," ",RIGHT(W179,2)," ",RIGHT(X179,2))</f>
        <v/>
      </c>
    </row>
    <row r="180" ht="15.75" customHeight="1" s="17">
      <c r="A180" s="222" t="n"/>
      <c r="B180" s="223" t="n"/>
      <c r="C180" s="160" t="inlineStr">
        <is>
          <t>Settings - 30 Gear</t>
        </is>
      </c>
      <c r="D180" s="160" t="inlineStr">
        <is>
          <t>55 43 49 12 00 10 04 4A 00 1E 00 00 00 00 00 00 00 00 00 00 00 68 A9</t>
        </is>
      </c>
      <c r="E180" s="161" t="n"/>
      <c r="F180" s="191" t="n"/>
      <c r="G180" s="192" t="inlineStr">
        <is>
          <t>0x10</t>
        </is>
      </c>
      <c r="H180" s="178" t="inlineStr">
        <is>
          <t>0x04</t>
        </is>
      </c>
      <c r="I180" s="199" t="inlineStr">
        <is>
          <t>0x4A</t>
        </is>
      </c>
      <c r="J180" s="178" t="inlineStr">
        <is>
          <t>0x00</t>
        </is>
      </c>
      <c r="K180" s="130" t="inlineStr">
        <is>
          <t>0x1E</t>
        </is>
      </c>
      <c r="L180" s="178" t="inlineStr">
        <is>
          <t>0x00</t>
        </is>
      </c>
      <c r="M180" s="178" t="inlineStr">
        <is>
          <t>0x00</t>
        </is>
      </c>
      <c r="N180" s="178" t="inlineStr">
        <is>
          <t>0x00</t>
        </is>
      </c>
      <c r="O180" s="178" t="inlineStr">
        <is>
          <t>0x00</t>
        </is>
      </c>
      <c r="P180" s="178" t="inlineStr">
        <is>
          <t>0x00</t>
        </is>
      </c>
      <c r="Q180" s="178" t="inlineStr">
        <is>
          <t>0x00</t>
        </is>
      </c>
      <c r="R180" s="178" t="inlineStr">
        <is>
          <t>0x00</t>
        </is>
      </c>
      <c r="S180" s="178" t="inlineStr">
        <is>
          <t>0x00</t>
        </is>
      </c>
      <c r="T180" s="178" t="inlineStr">
        <is>
          <t>0x00</t>
        </is>
      </c>
      <c r="U180" s="178" t="inlineStr">
        <is>
          <t>0x00</t>
        </is>
      </c>
      <c r="V180" s="178" t="inlineStr">
        <is>
          <t>0x00</t>
        </is>
      </c>
      <c r="W180" s="180">
        <f>"0x"&amp;MID(D180,64,2)</f>
        <v/>
      </c>
      <c r="X180" s="180">
        <f>"0x"&amp;MID(D180,67,2)</f>
        <v/>
      </c>
      <c r="Y180" s="182">
        <f>CONCATENATE(RIGHT(G180,2)," ",RIGHT(H180,2)," ",RIGHT(I180,2)," ",RIGHT(J180,2)," ",RIGHT(K180,2)," ",RIGHT(L180,2)," ",RIGHT(M180,2)," ",RIGHT(N180,2)," ",RIGHT(O180,2)," ",RIGHT(P180,2)," ",RIGHT(Q180,2)," ",RIGHT(R180,2)," ",RIGHT(S180,2)," ",RIGHT(T180,2)," ",RIGHT(U180,2)," ",RIGHT(V180,2)," ",RIGHT(W180,2)," ",RIGHT(X180,2))</f>
        <v/>
      </c>
    </row>
    <row r="181" ht="15.75" customHeight="1" s="17">
      <c r="A181" s="222" t="n"/>
      <c r="B181" s="223" t="n"/>
      <c r="C181" s="160" t="inlineStr">
        <is>
          <t>Settings - 40 Gear</t>
        </is>
      </c>
      <c r="D181" s="160" t="inlineStr">
        <is>
          <t>55 43 49 12 00 10 04 4A 00 28 00 00 00 00 00 00 00 00 00 00 00 A6 FB</t>
        </is>
      </c>
      <c r="E181" s="161" t="n"/>
      <c r="F181" s="191" t="n"/>
      <c r="G181" s="192" t="inlineStr">
        <is>
          <t>0x10</t>
        </is>
      </c>
      <c r="H181" s="178" t="inlineStr">
        <is>
          <t>0x04</t>
        </is>
      </c>
      <c r="I181" s="199" t="inlineStr">
        <is>
          <t>0x4A</t>
        </is>
      </c>
      <c r="J181" s="178" t="inlineStr">
        <is>
          <t>0x00</t>
        </is>
      </c>
      <c r="K181" s="130" t="inlineStr">
        <is>
          <t>0x28</t>
        </is>
      </c>
      <c r="L181" s="178" t="inlineStr">
        <is>
          <t>0x00</t>
        </is>
      </c>
      <c r="M181" s="178" t="inlineStr">
        <is>
          <t>0x00</t>
        </is>
      </c>
      <c r="N181" s="178" t="inlineStr">
        <is>
          <t>0x00</t>
        </is>
      </c>
      <c r="O181" s="178" t="inlineStr">
        <is>
          <t>0x00</t>
        </is>
      </c>
      <c r="P181" s="178" t="inlineStr">
        <is>
          <t>0x00</t>
        </is>
      </c>
      <c r="Q181" s="178" t="inlineStr">
        <is>
          <t>0x00</t>
        </is>
      </c>
      <c r="R181" s="178" t="inlineStr">
        <is>
          <t>0x00</t>
        </is>
      </c>
      <c r="S181" s="178" t="inlineStr">
        <is>
          <t>0x00</t>
        </is>
      </c>
      <c r="T181" s="178" t="inlineStr">
        <is>
          <t>0x00</t>
        </is>
      </c>
      <c r="U181" s="178" t="inlineStr">
        <is>
          <t>0x00</t>
        </is>
      </c>
      <c r="V181" s="178" t="inlineStr">
        <is>
          <t>0x00</t>
        </is>
      </c>
      <c r="W181" s="180">
        <f>"0x"&amp;MID(D181,64,2)</f>
        <v/>
      </c>
      <c r="X181" s="180">
        <f>"0x"&amp;MID(D181,67,2)</f>
        <v/>
      </c>
      <c r="Y181" s="182">
        <f>CONCATENATE(RIGHT(G181,2)," ",RIGHT(H181,2)," ",RIGHT(I181,2)," ",RIGHT(J181,2)," ",RIGHT(K181,2)," ",RIGHT(L181,2)," ",RIGHT(M181,2)," ",RIGHT(N181,2)," ",RIGHT(O181,2)," ",RIGHT(P181,2)," ",RIGHT(Q181,2)," ",RIGHT(R181,2)," ",RIGHT(S181,2)," ",RIGHT(T181,2)," ",RIGHT(U181,2)," ",RIGHT(V181,2)," ",RIGHT(W181,2)," ",RIGHT(X181,2))</f>
        <v/>
      </c>
    </row>
    <row r="182" ht="15.75" customHeight="1" s="17">
      <c r="A182" s="222" t="n"/>
      <c r="B182" s="223" t="n"/>
      <c r="C182" s="160" t="inlineStr">
        <is>
          <t>Settings - 50 Gear</t>
        </is>
      </c>
      <c r="D182" s="160" t="inlineStr">
        <is>
          <t>55 43 49 12 00 10 04 4A 00 32 00 00 00 00 00 00 00 00 00 00 00 B4 D1</t>
        </is>
      </c>
      <c r="E182" s="161" t="n"/>
      <c r="F182" s="191" t="n"/>
      <c r="G182" s="192" t="inlineStr">
        <is>
          <t>0x10</t>
        </is>
      </c>
      <c r="H182" s="178" t="inlineStr">
        <is>
          <t>0x04</t>
        </is>
      </c>
      <c r="I182" s="199" t="inlineStr">
        <is>
          <t>0x4A</t>
        </is>
      </c>
      <c r="J182" s="178" t="inlineStr">
        <is>
          <t>0x00</t>
        </is>
      </c>
      <c r="K182" s="130" t="inlineStr">
        <is>
          <t>0x32</t>
        </is>
      </c>
      <c r="L182" s="178" t="inlineStr">
        <is>
          <t>0x00</t>
        </is>
      </c>
      <c r="M182" s="178" t="inlineStr">
        <is>
          <t>0x00</t>
        </is>
      </c>
      <c r="N182" s="178" t="inlineStr">
        <is>
          <t>0x00</t>
        </is>
      </c>
      <c r="O182" s="178" t="inlineStr">
        <is>
          <t>0x00</t>
        </is>
      </c>
      <c r="P182" s="178" t="inlineStr">
        <is>
          <t>0x00</t>
        </is>
      </c>
      <c r="Q182" s="178" t="inlineStr">
        <is>
          <t>0x00</t>
        </is>
      </c>
      <c r="R182" s="178" t="inlineStr">
        <is>
          <t>0x00</t>
        </is>
      </c>
      <c r="S182" s="178" t="inlineStr">
        <is>
          <t>0x00</t>
        </is>
      </c>
      <c r="T182" s="178" t="inlineStr">
        <is>
          <t>0x00</t>
        </is>
      </c>
      <c r="U182" s="178" t="inlineStr">
        <is>
          <t>0x00</t>
        </is>
      </c>
      <c r="V182" s="178" t="inlineStr">
        <is>
          <t>0x00</t>
        </is>
      </c>
      <c r="W182" s="180">
        <f>"0x"&amp;MID(D182,64,2)</f>
        <v/>
      </c>
      <c r="X182" s="180">
        <f>"0x"&amp;MID(D182,67,2)</f>
        <v/>
      </c>
      <c r="Y182" s="182">
        <f>CONCATENATE(RIGHT(G182,2)," ",RIGHT(H182,2)," ",RIGHT(I182,2)," ",RIGHT(J182,2)," ",RIGHT(K182,2)," ",RIGHT(L182,2)," ",RIGHT(M182,2)," ",RIGHT(N182,2)," ",RIGHT(O182,2)," ",RIGHT(P182,2)," ",RIGHT(Q182,2)," ",RIGHT(R182,2)," ",RIGHT(S182,2)," ",RIGHT(T182,2)," ",RIGHT(U182,2)," ",RIGHT(V182,2)," ",RIGHT(W182,2)," ",RIGHT(X182,2))</f>
        <v/>
      </c>
    </row>
    <row r="183" ht="15.75" customHeight="1" s="17">
      <c r="A183" s="222" t="n"/>
      <c r="B183" s="223" t="n"/>
      <c r="C183" s="160" t="inlineStr">
        <is>
          <t>Settings - 60 Gear</t>
        </is>
      </c>
      <c r="D183" s="160" t="inlineStr">
        <is>
          <t>55 43 49 12 00 10 04 4A 00 3C 00 00 00 00 00 00 00 00 00 00 00 22 C1</t>
        </is>
      </c>
      <c r="E183" s="161" t="n"/>
      <c r="F183" s="191" t="n"/>
      <c r="G183" s="192" t="inlineStr">
        <is>
          <t>0x10</t>
        </is>
      </c>
      <c r="H183" s="178" t="inlineStr">
        <is>
          <t>0x04</t>
        </is>
      </c>
      <c r="I183" s="199" t="inlineStr">
        <is>
          <t>0x4A</t>
        </is>
      </c>
      <c r="J183" s="178" t="inlineStr">
        <is>
          <t>0x00</t>
        </is>
      </c>
      <c r="K183" s="130" t="inlineStr">
        <is>
          <t>0x3C</t>
        </is>
      </c>
      <c r="L183" s="178" t="inlineStr">
        <is>
          <t>0x00</t>
        </is>
      </c>
      <c r="M183" s="178" t="inlineStr">
        <is>
          <t>0x00</t>
        </is>
      </c>
      <c r="N183" s="178" t="inlineStr">
        <is>
          <t>0x00</t>
        </is>
      </c>
      <c r="O183" s="178" t="inlineStr">
        <is>
          <t>0x00</t>
        </is>
      </c>
      <c r="P183" s="178" t="inlineStr">
        <is>
          <t>0x00</t>
        </is>
      </c>
      <c r="Q183" s="178" t="inlineStr">
        <is>
          <t>0x00</t>
        </is>
      </c>
      <c r="R183" s="178" t="inlineStr">
        <is>
          <t>0x00</t>
        </is>
      </c>
      <c r="S183" s="178" t="inlineStr">
        <is>
          <t>0x00</t>
        </is>
      </c>
      <c r="T183" s="178" t="inlineStr">
        <is>
          <t>0x00</t>
        </is>
      </c>
      <c r="U183" s="178" t="inlineStr">
        <is>
          <t>0x00</t>
        </is>
      </c>
      <c r="V183" s="178" t="inlineStr">
        <is>
          <t>0x00</t>
        </is>
      </c>
      <c r="W183" s="180">
        <f>"0x"&amp;MID(D183,64,2)</f>
        <v/>
      </c>
      <c r="X183" s="180">
        <f>"0x"&amp;MID(D183,67,2)</f>
        <v/>
      </c>
      <c r="Y183" s="182">
        <f>CONCATENATE(RIGHT(G183,2)," ",RIGHT(H183,2)," ",RIGHT(I183,2)," ",RIGHT(J183,2)," ",RIGHT(K183,2)," ",RIGHT(L183,2)," ",RIGHT(M183,2)," ",RIGHT(N183,2)," ",RIGHT(O183,2)," ",RIGHT(P183,2)," ",RIGHT(Q183,2)," ",RIGHT(R183,2)," ",RIGHT(S183,2)," ",RIGHT(T183,2)," ",RIGHT(U183,2)," ",RIGHT(V183,2)," ",RIGHT(W183,2)," ",RIGHT(X183,2))</f>
        <v/>
      </c>
    </row>
    <row r="184" ht="15.75" customHeight="1" s="17">
      <c r="A184" s="222" t="n"/>
      <c r="B184" s="223" t="n"/>
      <c r="C184" s="160" t="inlineStr">
        <is>
          <t>Settings - 70 Gear</t>
        </is>
      </c>
      <c r="D184" s="160" t="inlineStr">
        <is>
          <t>55 43 49 12 00 10 04 4A 00 46 00 00 00 00 00 00 00 00 00 00 00 D0 58</t>
        </is>
      </c>
      <c r="E184" s="161" t="n"/>
      <c r="F184" s="191" t="n"/>
      <c r="G184" s="192" t="inlineStr">
        <is>
          <t>0x10</t>
        </is>
      </c>
      <c r="H184" s="178" t="inlineStr">
        <is>
          <t>0x04</t>
        </is>
      </c>
      <c r="I184" s="199" t="inlineStr">
        <is>
          <t>0x4A</t>
        </is>
      </c>
      <c r="J184" s="178" t="inlineStr">
        <is>
          <t>0x00</t>
        </is>
      </c>
      <c r="K184" s="130" t="inlineStr">
        <is>
          <t>0x46</t>
        </is>
      </c>
      <c r="L184" s="178" t="inlineStr">
        <is>
          <t>0x00</t>
        </is>
      </c>
      <c r="M184" s="178" t="inlineStr">
        <is>
          <t>0x00</t>
        </is>
      </c>
      <c r="N184" s="178" t="inlineStr">
        <is>
          <t>0x00</t>
        </is>
      </c>
      <c r="O184" s="178" t="inlineStr">
        <is>
          <t>0x00</t>
        </is>
      </c>
      <c r="P184" s="178" t="inlineStr">
        <is>
          <t>0x00</t>
        </is>
      </c>
      <c r="Q184" s="178" t="inlineStr">
        <is>
          <t>0x00</t>
        </is>
      </c>
      <c r="R184" s="178" t="inlineStr">
        <is>
          <t>0x00</t>
        </is>
      </c>
      <c r="S184" s="178" t="inlineStr">
        <is>
          <t>0x00</t>
        </is>
      </c>
      <c r="T184" s="178" t="inlineStr">
        <is>
          <t>0x00</t>
        </is>
      </c>
      <c r="U184" s="178" t="inlineStr">
        <is>
          <t>0x00</t>
        </is>
      </c>
      <c r="V184" s="178" t="inlineStr">
        <is>
          <t>0x00</t>
        </is>
      </c>
      <c r="W184" s="180">
        <f>"0x"&amp;MID(D184,64,2)</f>
        <v/>
      </c>
      <c r="X184" s="180">
        <f>"0x"&amp;MID(D184,67,2)</f>
        <v/>
      </c>
      <c r="Y184" s="182">
        <f>CONCATENATE(RIGHT(G184,2)," ",RIGHT(H184,2)," ",RIGHT(I184,2)," ",RIGHT(J184,2)," ",RIGHT(K184,2)," ",RIGHT(L184,2)," ",RIGHT(M184,2)," ",RIGHT(N184,2)," ",RIGHT(O184,2)," ",RIGHT(P184,2)," ",RIGHT(Q184,2)," ",RIGHT(R184,2)," ",RIGHT(S184,2)," ",RIGHT(T184,2)," ",RIGHT(U184,2)," ",RIGHT(V184,2)," ",RIGHT(W184,2)," ",RIGHT(X184,2))</f>
        <v/>
      </c>
    </row>
    <row r="185" ht="15.75" customHeight="1" s="17">
      <c r="A185" s="222" t="n"/>
      <c r="B185" s="223" t="n"/>
      <c r="C185" s="160" t="inlineStr">
        <is>
          <t>Settings - 80 Gear</t>
        </is>
      </c>
      <c r="D185" s="160" t="inlineStr">
        <is>
          <t>55 43 49 12 00 10 04 4A 00 50 00 00 00 00 00 00 00 00 00 00 00 BE 64</t>
        </is>
      </c>
      <c r="E185" s="161" t="n"/>
      <c r="F185" s="191" t="n"/>
      <c r="G185" s="192" t="inlineStr">
        <is>
          <t>0x10</t>
        </is>
      </c>
      <c r="H185" s="178" t="inlineStr">
        <is>
          <t>0x04</t>
        </is>
      </c>
      <c r="I185" s="199" t="inlineStr">
        <is>
          <t>0x4A</t>
        </is>
      </c>
      <c r="J185" s="178" t="inlineStr">
        <is>
          <t>0x00</t>
        </is>
      </c>
      <c r="K185" s="130" t="inlineStr">
        <is>
          <t>0x50</t>
        </is>
      </c>
      <c r="L185" s="178" t="inlineStr">
        <is>
          <t>0x00</t>
        </is>
      </c>
      <c r="M185" s="178" t="inlineStr">
        <is>
          <t>0x00</t>
        </is>
      </c>
      <c r="N185" s="178" t="inlineStr">
        <is>
          <t>0x00</t>
        </is>
      </c>
      <c r="O185" s="178" t="inlineStr">
        <is>
          <t>0x00</t>
        </is>
      </c>
      <c r="P185" s="178" t="inlineStr">
        <is>
          <t>0x00</t>
        </is>
      </c>
      <c r="Q185" s="178" t="inlineStr">
        <is>
          <t>0x00</t>
        </is>
      </c>
      <c r="R185" s="178" t="inlineStr">
        <is>
          <t>0x00</t>
        </is>
      </c>
      <c r="S185" s="178" t="inlineStr">
        <is>
          <t>0x00</t>
        </is>
      </c>
      <c r="T185" s="178" t="inlineStr">
        <is>
          <t>0x00</t>
        </is>
      </c>
      <c r="U185" s="178" t="inlineStr">
        <is>
          <t>0x00</t>
        </is>
      </c>
      <c r="V185" s="178" t="inlineStr">
        <is>
          <t>0x00</t>
        </is>
      </c>
      <c r="W185" s="180">
        <f>"0x"&amp;MID(D185,64,2)</f>
        <v/>
      </c>
      <c r="X185" s="180">
        <f>"0x"&amp;MID(D185,67,2)</f>
        <v/>
      </c>
      <c r="Y185" s="182">
        <f>CONCATENATE(RIGHT(G185,2)," ",RIGHT(H185,2)," ",RIGHT(I185,2)," ",RIGHT(J185,2)," ",RIGHT(K185,2)," ",RIGHT(L185,2)," ",RIGHT(M185,2)," ",RIGHT(N185,2)," ",RIGHT(O185,2)," ",RIGHT(P185,2)," ",RIGHT(Q185,2)," ",RIGHT(R185,2)," ",RIGHT(S185,2)," ",RIGHT(T185,2)," ",RIGHT(U185,2)," ",RIGHT(V185,2)," ",RIGHT(W185,2)," ",RIGHT(X185,2))</f>
        <v/>
      </c>
    </row>
    <row r="186" ht="15.75" customHeight="1" s="17">
      <c r="A186" s="222" t="n"/>
      <c r="B186" s="223" t="n"/>
      <c r="C186" s="160" t="inlineStr">
        <is>
          <t>Settings - 90 Gear</t>
        </is>
      </c>
      <c r="D186" s="160" t="inlineStr">
        <is>
          <t>55 43 49 12 00 10 04 4A 00 5A 00 00 00 00 00 00 00 00 00 00 00 FC 79</t>
        </is>
      </c>
      <c r="E186" s="161" t="n"/>
      <c r="F186" s="191" t="n"/>
      <c r="G186" s="192" t="inlineStr">
        <is>
          <t>0x10</t>
        </is>
      </c>
      <c r="H186" s="178" t="inlineStr">
        <is>
          <t>0x04</t>
        </is>
      </c>
      <c r="I186" s="199" t="inlineStr">
        <is>
          <t>0x4A</t>
        </is>
      </c>
      <c r="J186" s="178" t="inlineStr">
        <is>
          <t>0x00</t>
        </is>
      </c>
      <c r="K186" s="130" t="inlineStr">
        <is>
          <t>0x5A</t>
        </is>
      </c>
      <c r="L186" s="178" t="inlineStr">
        <is>
          <t>0x00</t>
        </is>
      </c>
      <c r="M186" s="178" t="inlineStr">
        <is>
          <t>0x00</t>
        </is>
      </c>
      <c r="N186" s="178" t="inlineStr">
        <is>
          <t>0x00</t>
        </is>
      </c>
      <c r="O186" s="178" t="inlineStr">
        <is>
          <t>0x00</t>
        </is>
      </c>
      <c r="P186" s="178" t="inlineStr">
        <is>
          <t>0x00</t>
        </is>
      </c>
      <c r="Q186" s="178" t="inlineStr">
        <is>
          <t>0x00</t>
        </is>
      </c>
      <c r="R186" s="178" t="inlineStr">
        <is>
          <t>0x00</t>
        </is>
      </c>
      <c r="S186" s="178" t="inlineStr">
        <is>
          <t>0x00</t>
        </is>
      </c>
      <c r="T186" s="178" t="inlineStr">
        <is>
          <t>0x00</t>
        </is>
      </c>
      <c r="U186" s="178" t="inlineStr">
        <is>
          <t>0x00</t>
        </is>
      </c>
      <c r="V186" s="178" t="inlineStr">
        <is>
          <t>0x00</t>
        </is>
      </c>
      <c r="W186" s="180">
        <f>"0x"&amp;MID(D186,64,2)</f>
        <v/>
      </c>
      <c r="X186" s="180">
        <f>"0x"&amp;MID(D186,67,2)</f>
        <v/>
      </c>
      <c r="Y186" s="182">
        <f>CONCATENATE(RIGHT(G186,2)," ",RIGHT(H186,2)," ",RIGHT(I186,2)," ",RIGHT(J186,2)," ",RIGHT(K186,2)," ",RIGHT(L186,2)," ",RIGHT(M186,2)," ",RIGHT(N186,2)," ",RIGHT(O186,2)," ",RIGHT(P186,2)," ",RIGHT(Q186,2)," ",RIGHT(R186,2)," ",RIGHT(S186,2)," ",RIGHT(T186,2)," ",RIGHT(U186,2)," ",RIGHT(V186,2)," ",RIGHT(W186,2)," ",RIGHT(X186,2))</f>
        <v/>
      </c>
    </row>
    <row r="187" ht="15.75" customHeight="1" s="17">
      <c r="A187" s="222" t="n"/>
      <c r="B187" s="223" t="n"/>
      <c r="C187" s="160" t="inlineStr">
        <is>
          <t>Settings - 100 Gear</t>
        </is>
      </c>
      <c r="D187" s="160" t="inlineStr">
        <is>
          <t>55 43 49 12 00 10 04 4A 00 64 00 00 00 00 00 00 00 00 00 00 00 9A 30</t>
        </is>
      </c>
      <c r="E187" s="161" t="n"/>
      <c r="F187" s="191" t="n"/>
      <c r="G187" s="192" t="inlineStr">
        <is>
          <t>0x10</t>
        </is>
      </c>
      <c r="H187" s="178" t="inlineStr">
        <is>
          <t>0x04</t>
        </is>
      </c>
      <c r="I187" s="199" t="inlineStr">
        <is>
          <t>0x4A</t>
        </is>
      </c>
      <c r="J187" s="178" t="inlineStr">
        <is>
          <t>0x00</t>
        </is>
      </c>
      <c r="K187" s="130" t="inlineStr">
        <is>
          <t>0x64</t>
        </is>
      </c>
      <c r="L187" s="178" t="inlineStr">
        <is>
          <t>0x00</t>
        </is>
      </c>
      <c r="M187" s="178" t="inlineStr">
        <is>
          <t>0x00</t>
        </is>
      </c>
      <c r="N187" s="178" t="inlineStr">
        <is>
          <t>0x00</t>
        </is>
      </c>
      <c r="O187" s="178" t="inlineStr">
        <is>
          <t>0x00</t>
        </is>
      </c>
      <c r="P187" s="178" t="inlineStr">
        <is>
          <t>0x00</t>
        </is>
      </c>
      <c r="Q187" s="178" t="inlineStr">
        <is>
          <t>0x00</t>
        </is>
      </c>
      <c r="R187" s="178" t="inlineStr">
        <is>
          <t>0x00</t>
        </is>
      </c>
      <c r="S187" s="178" t="inlineStr">
        <is>
          <t>0x00</t>
        </is>
      </c>
      <c r="T187" s="178" t="inlineStr">
        <is>
          <t>0x00</t>
        </is>
      </c>
      <c r="U187" s="178" t="inlineStr">
        <is>
          <t>0x00</t>
        </is>
      </c>
      <c r="V187" s="178" t="inlineStr">
        <is>
          <t>0x00</t>
        </is>
      </c>
      <c r="W187" s="180">
        <f>"0x"&amp;MID(D187,64,2)</f>
        <v/>
      </c>
      <c r="X187" s="180">
        <f>"0x"&amp;MID(D187,67,2)</f>
        <v/>
      </c>
      <c r="Y187" s="182">
        <f>CONCATENATE(RIGHT(G187,2)," ",RIGHT(H187,2)," ",RIGHT(I187,2)," ",RIGHT(J187,2)," ",RIGHT(K187,2)," ",RIGHT(L187,2)," ",RIGHT(M187,2)," ",RIGHT(N187,2)," ",RIGHT(O187,2)," ",RIGHT(P187,2)," ",RIGHT(Q187,2)," ",RIGHT(R187,2)," ",RIGHT(S187,2)," ",RIGHT(T187,2)," ",RIGHT(U187,2)," ",RIGHT(V187,2)," ",RIGHT(W187,2)," ",RIGHT(X187,2))</f>
        <v/>
      </c>
    </row>
    <row r="188" ht="15.75" customHeight="1" s="17">
      <c r="A188" s="222" t="n"/>
      <c r="B188" s="225" t="n"/>
      <c r="C188" s="160" t="inlineStr">
        <is>
          <t>Get</t>
        </is>
      </c>
      <c r="D188" s="160" t="inlineStr">
        <is>
          <t>55 43 49 12 00 10 04 8A 00 01 00 00 00 00 00 00 00 01 00 00 00 AE 87</t>
        </is>
      </c>
      <c r="E188" s="161" t="n"/>
      <c r="F188" s="191" t="n"/>
      <c r="G188" s="192" t="inlineStr">
        <is>
          <t>0x10</t>
        </is>
      </c>
      <c r="H188" s="178" t="inlineStr">
        <is>
          <t>0x04</t>
        </is>
      </c>
      <c r="I188" s="199" t="inlineStr">
        <is>
          <t>0x8A</t>
        </is>
      </c>
      <c r="J188" s="178" t="inlineStr">
        <is>
          <t>0x00</t>
        </is>
      </c>
      <c r="K188" s="130" t="inlineStr">
        <is>
          <t>0x01</t>
        </is>
      </c>
      <c r="L188" s="178" t="inlineStr">
        <is>
          <t>0x00</t>
        </is>
      </c>
      <c r="M188" s="178" t="inlineStr">
        <is>
          <t>0x00</t>
        </is>
      </c>
      <c r="N188" s="178" t="inlineStr">
        <is>
          <t>0x00</t>
        </is>
      </c>
      <c r="O188" s="178" t="inlineStr">
        <is>
          <t>0x00</t>
        </is>
      </c>
      <c r="P188" s="178" t="inlineStr">
        <is>
          <t>0x00</t>
        </is>
      </c>
      <c r="Q188" s="178" t="inlineStr">
        <is>
          <t>0x00</t>
        </is>
      </c>
      <c r="R188" s="178" t="inlineStr">
        <is>
          <t>0x00</t>
        </is>
      </c>
      <c r="S188" s="178" t="inlineStr">
        <is>
          <t>0x01</t>
        </is>
      </c>
      <c r="T188" s="178" t="inlineStr">
        <is>
          <t>0x00</t>
        </is>
      </c>
      <c r="U188" s="178" t="inlineStr">
        <is>
          <t>0x00</t>
        </is>
      </c>
      <c r="V188" s="178" t="inlineStr">
        <is>
          <t>0x00</t>
        </is>
      </c>
      <c r="W188" s="180">
        <f>"0x"&amp;MID(D188,64,2)</f>
        <v/>
      </c>
      <c r="X188" s="180">
        <f>"0x"&amp;MID(D188,67,2)</f>
        <v/>
      </c>
      <c r="Y188" s="182">
        <f>CONCATENATE(RIGHT(G188,2)," ",RIGHT(H188,2)," ",RIGHT(I188,2)," ",RIGHT(J188,2)," ",RIGHT(K188,2)," ",RIGHT(L188,2)," ",RIGHT(M188,2)," ",RIGHT(N188,2)," ",RIGHT(O188,2)," ",RIGHT(P188,2)," ",RIGHT(Q188,2)," ",RIGHT(R188,2)," ",RIGHT(S188,2)," ",RIGHT(T188,2)," ",RIGHT(U188,2)," ",RIGHT(V188,2)," ",RIGHT(W188,2)," ",RIGHT(X188,2))</f>
        <v/>
      </c>
    </row>
    <row r="189">
      <c r="A189" s="222" t="n"/>
      <c r="B189" s="160" t="inlineStr">
        <is>
          <t>Spatial Noise Reduction</t>
        </is>
      </c>
      <c r="C189" s="160" t="inlineStr">
        <is>
          <t>Settings - 0 Gear</t>
        </is>
      </c>
      <c r="D189" s="160" t="inlineStr">
        <is>
          <t>55 43 49 12 00 10 04 4B 00 00 00 00 00 00 00 00 00 00 00 00 00 CF F5</t>
        </is>
      </c>
      <c r="E189" s="161" t="n"/>
      <c r="F189" s="191" t="n"/>
      <c r="G189" s="192" t="inlineStr">
        <is>
          <t>0x10</t>
        </is>
      </c>
      <c r="H189" s="178" t="inlineStr">
        <is>
          <t>0x04</t>
        </is>
      </c>
      <c r="I189" s="178" t="inlineStr">
        <is>
          <t>0x4B</t>
        </is>
      </c>
      <c r="J189" s="178" t="inlineStr">
        <is>
          <t>0x00</t>
        </is>
      </c>
      <c r="K189" s="130" t="inlineStr">
        <is>
          <t>0x00</t>
        </is>
      </c>
      <c r="L189" s="178" t="inlineStr">
        <is>
          <t>0x00</t>
        </is>
      </c>
      <c r="M189" s="178" t="inlineStr">
        <is>
          <t>0x00</t>
        </is>
      </c>
      <c r="N189" s="178" t="inlineStr">
        <is>
          <t>0x00</t>
        </is>
      </c>
      <c r="O189" s="178" t="inlineStr">
        <is>
          <t>0x00</t>
        </is>
      </c>
      <c r="P189" s="178" t="inlineStr">
        <is>
          <t>0x00</t>
        </is>
      </c>
      <c r="Q189" s="178" t="inlineStr">
        <is>
          <t>0x00</t>
        </is>
      </c>
      <c r="R189" s="178" t="inlineStr">
        <is>
          <t>0x00</t>
        </is>
      </c>
      <c r="S189" s="178" t="inlineStr">
        <is>
          <t>0x00</t>
        </is>
      </c>
      <c r="T189" s="178" t="inlineStr">
        <is>
          <t>0x00</t>
        </is>
      </c>
      <c r="U189" s="178" t="inlineStr">
        <is>
          <t>0x00</t>
        </is>
      </c>
      <c r="V189" s="178" t="inlineStr">
        <is>
          <t>0x00</t>
        </is>
      </c>
      <c r="W189" s="180">
        <f>"0x"&amp;MID(D189,64,2)</f>
        <v/>
      </c>
      <c r="X189" s="180">
        <f>"0x"&amp;MID(D189,67,2)</f>
        <v/>
      </c>
      <c r="Y189" s="182">
        <f>CONCATENATE(RIGHT(G189,2)," ",RIGHT(H189,2)," ",RIGHT(I189,2)," ",RIGHT(J189,2)," ",RIGHT(K189,2)," ",RIGHT(L189,2)," ",RIGHT(M189,2)," ",RIGHT(N189,2)," ",RIGHT(O189,2)," ",RIGHT(P189,2)," ",RIGHT(Q189,2)," ",RIGHT(R189,2)," ",RIGHT(S189,2)," ",RIGHT(T189,2)," ",RIGHT(U189,2)," ",RIGHT(V189,2)," ",RIGHT(W189,2)," ",RIGHT(X189,2))</f>
        <v/>
      </c>
    </row>
    <row r="190">
      <c r="A190" s="222" t="n"/>
      <c r="B190" s="223" t="n"/>
      <c r="C190" s="160" t="inlineStr">
        <is>
          <t>Settings - 10 Gear</t>
        </is>
      </c>
      <c r="D190" s="160" t="inlineStr">
        <is>
          <t>55 43 49 12 00 10 04 4B 00 0A 00 00 00 00 00 00 00 00 00 00 00 8D E8</t>
        </is>
      </c>
      <c r="E190" s="161" t="n"/>
      <c r="F190" s="191" t="n"/>
      <c r="G190" s="192" t="inlineStr">
        <is>
          <t>0x10</t>
        </is>
      </c>
      <c r="H190" s="178" t="inlineStr">
        <is>
          <t>0x04</t>
        </is>
      </c>
      <c r="I190" s="178" t="inlineStr">
        <is>
          <t>0x4B</t>
        </is>
      </c>
      <c r="J190" s="178" t="inlineStr">
        <is>
          <t>0x00</t>
        </is>
      </c>
      <c r="K190" s="130" t="inlineStr">
        <is>
          <t>0x0A</t>
        </is>
      </c>
      <c r="L190" s="178" t="inlineStr">
        <is>
          <t>0x00</t>
        </is>
      </c>
      <c r="M190" s="178" t="inlineStr">
        <is>
          <t>0x00</t>
        </is>
      </c>
      <c r="N190" s="178" t="inlineStr">
        <is>
          <t>0x00</t>
        </is>
      </c>
      <c r="O190" s="178" t="inlineStr">
        <is>
          <t>0x00</t>
        </is>
      </c>
      <c r="P190" s="178" t="inlineStr">
        <is>
          <t>0x00</t>
        </is>
      </c>
      <c r="Q190" s="178" t="inlineStr">
        <is>
          <t>0x00</t>
        </is>
      </c>
      <c r="R190" s="178" t="inlineStr">
        <is>
          <t>0x00</t>
        </is>
      </c>
      <c r="S190" s="178" t="inlineStr">
        <is>
          <t>0x00</t>
        </is>
      </c>
      <c r="T190" s="178" t="inlineStr">
        <is>
          <t>0x00</t>
        </is>
      </c>
      <c r="U190" s="178" t="inlineStr">
        <is>
          <t>0x00</t>
        </is>
      </c>
      <c r="V190" s="178" t="inlineStr">
        <is>
          <t>0x00</t>
        </is>
      </c>
      <c r="W190" s="180">
        <f>"0x"&amp;MID(D190,64,2)</f>
        <v/>
      </c>
      <c r="X190" s="180">
        <f>"0x"&amp;MID(D190,67,2)</f>
        <v/>
      </c>
      <c r="Y190" s="182">
        <f>CONCATENATE(RIGHT(G190,2)," ",RIGHT(H190,2)," ",RIGHT(I190,2)," ",RIGHT(J190,2)," ",RIGHT(K190,2)," ",RIGHT(L190,2)," ",RIGHT(M190,2)," ",RIGHT(N190,2)," ",RIGHT(O190,2)," ",RIGHT(P190,2)," ",RIGHT(Q190,2)," ",RIGHT(R190,2)," ",RIGHT(S190,2)," ",RIGHT(T190,2)," ",RIGHT(U190,2)," ",RIGHT(V190,2)," ",RIGHT(W190,2)," ",RIGHT(X190,2))</f>
        <v/>
      </c>
    </row>
    <row r="191">
      <c r="A191" s="222" t="n"/>
      <c r="B191" s="223" t="n"/>
      <c r="C191" s="160" t="inlineStr">
        <is>
          <t>Settings - 20 Gear</t>
        </is>
      </c>
      <c r="D191" s="160" t="inlineStr">
        <is>
          <t>55 43 49 12 00 10 04 4B 00 14 00 00 00 00 00 00 00 00 00 00 00 4B CF</t>
        </is>
      </c>
      <c r="E191" s="161" t="n"/>
      <c r="F191" s="191" t="n"/>
      <c r="G191" s="192" t="inlineStr">
        <is>
          <t>0x10</t>
        </is>
      </c>
      <c r="H191" s="178" t="inlineStr">
        <is>
          <t>0x04</t>
        </is>
      </c>
      <c r="I191" s="178" t="inlineStr">
        <is>
          <t>0x4B</t>
        </is>
      </c>
      <c r="J191" s="178" t="inlineStr">
        <is>
          <t>0x00</t>
        </is>
      </c>
      <c r="K191" s="130" t="inlineStr">
        <is>
          <t>0x14</t>
        </is>
      </c>
      <c r="L191" s="178" t="inlineStr">
        <is>
          <t>0x00</t>
        </is>
      </c>
      <c r="M191" s="178" t="inlineStr">
        <is>
          <t>0x00</t>
        </is>
      </c>
      <c r="N191" s="178" t="inlineStr">
        <is>
          <t>0x00</t>
        </is>
      </c>
      <c r="O191" s="178" t="inlineStr">
        <is>
          <t>0x00</t>
        </is>
      </c>
      <c r="P191" s="178" t="inlineStr">
        <is>
          <t>0x00</t>
        </is>
      </c>
      <c r="Q191" s="178" t="inlineStr">
        <is>
          <t>0x00</t>
        </is>
      </c>
      <c r="R191" s="178" t="inlineStr">
        <is>
          <t>0x00</t>
        </is>
      </c>
      <c r="S191" s="178" t="inlineStr">
        <is>
          <t>0x00</t>
        </is>
      </c>
      <c r="T191" s="178" t="inlineStr">
        <is>
          <t>0x00</t>
        </is>
      </c>
      <c r="U191" s="178" t="inlineStr">
        <is>
          <t>0x00</t>
        </is>
      </c>
      <c r="V191" s="178" t="inlineStr">
        <is>
          <t>0x00</t>
        </is>
      </c>
      <c r="W191" s="180">
        <f>"0x"&amp;MID(D191,64,2)</f>
        <v/>
      </c>
      <c r="X191" s="180">
        <f>"0x"&amp;MID(D191,67,2)</f>
        <v/>
      </c>
      <c r="Y191" s="182">
        <f>CONCATENATE(RIGHT(G191,2)," ",RIGHT(H191,2)," ",RIGHT(I191,2)," ",RIGHT(J191,2)," ",RIGHT(K191,2)," ",RIGHT(L191,2)," ",RIGHT(M191,2)," ",RIGHT(N191,2)," ",RIGHT(O191,2)," ",RIGHT(P191,2)," ",RIGHT(Q191,2)," ",RIGHT(R191,2)," ",RIGHT(S191,2)," ",RIGHT(T191,2)," ",RIGHT(U191,2)," ",RIGHT(V191,2)," ",RIGHT(W191,2)," ",RIGHT(X191,2))</f>
        <v/>
      </c>
    </row>
    <row r="192">
      <c r="A192" s="222" t="n"/>
      <c r="B192" s="223" t="n"/>
      <c r="C192" s="160" t="inlineStr">
        <is>
          <t>Settings - 30 Gear</t>
        </is>
      </c>
      <c r="D192" s="160" t="inlineStr">
        <is>
          <t>55 43 49 12 00 10 04 4B 00 1E 00 00 00 00 00 00 00 00 00 00 00 09 D2</t>
        </is>
      </c>
      <c r="E192" s="161" t="n"/>
      <c r="F192" s="191" t="n"/>
      <c r="G192" s="192" t="inlineStr">
        <is>
          <t>0x10</t>
        </is>
      </c>
      <c r="H192" s="178" t="inlineStr">
        <is>
          <t>0x04</t>
        </is>
      </c>
      <c r="I192" s="178" t="inlineStr">
        <is>
          <t>0x4B</t>
        </is>
      </c>
      <c r="J192" s="178" t="inlineStr">
        <is>
          <t>0x00</t>
        </is>
      </c>
      <c r="K192" s="130" t="inlineStr">
        <is>
          <t>0x1E</t>
        </is>
      </c>
      <c r="L192" s="178" t="inlineStr">
        <is>
          <t>0x00</t>
        </is>
      </c>
      <c r="M192" s="178" t="inlineStr">
        <is>
          <t>0x00</t>
        </is>
      </c>
      <c r="N192" s="178" t="inlineStr">
        <is>
          <t>0x00</t>
        </is>
      </c>
      <c r="O192" s="178" t="inlineStr">
        <is>
          <t>0x00</t>
        </is>
      </c>
      <c r="P192" s="178" t="inlineStr">
        <is>
          <t>0x00</t>
        </is>
      </c>
      <c r="Q192" s="178" t="inlineStr">
        <is>
          <t>0x00</t>
        </is>
      </c>
      <c r="R192" s="178" t="inlineStr">
        <is>
          <t>0x00</t>
        </is>
      </c>
      <c r="S192" s="178" t="inlineStr">
        <is>
          <t>0x00</t>
        </is>
      </c>
      <c r="T192" s="178" t="inlineStr">
        <is>
          <t>0x00</t>
        </is>
      </c>
      <c r="U192" s="178" t="inlineStr">
        <is>
          <t>0x00</t>
        </is>
      </c>
      <c r="V192" s="178" t="inlineStr">
        <is>
          <t>0x00</t>
        </is>
      </c>
      <c r="W192" s="180">
        <f>"0x"&amp;MID(D192,64,2)</f>
        <v/>
      </c>
      <c r="X192" s="180">
        <f>"0x"&amp;MID(D192,67,2)</f>
        <v/>
      </c>
      <c r="Y192" s="182">
        <f>CONCATENATE(RIGHT(G192,2)," ",RIGHT(H192,2)," ",RIGHT(I192,2)," ",RIGHT(J192,2)," ",RIGHT(K192,2)," ",RIGHT(L192,2)," ",RIGHT(M192,2)," ",RIGHT(N192,2)," ",RIGHT(O192,2)," ",RIGHT(P192,2)," ",RIGHT(Q192,2)," ",RIGHT(R192,2)," ",RIGHT(S192,2)," ",RIGHT(T192,2)," ",RIGHT(U192,2)," ",RIGHT(V192,2)," ",RIGHT(W192,2)," ",RIGHT(X192,2))</f>
        <v/>
      </c>
    </row>
    <row r="193">
      <c r="A193" s="222" t="n"/>
      <c r="B193" s="223" t="n"/>
      <c r="C193" s="160" t="inlineStr">
        <is>
          <t>Settings - 40 Gear</t>
        </is>
      </c>
      <c r="D193" s="160" t="inlineStr">
        <is>
          <t>55 43 49 12 00 10 04 4B 00 28 00 00 00 00 00 00 00 00 00 00 00 C7 80</t>
        </is>
      </c>
      <c r="E193" s="161" t="n"/>
      <c r="F193" s="191" t="n"/>
      <c r="G193" s="192" t="inlineStr">
        <is>
          <t>0x10</t>
        </is>
      </c>
      <c r="H193" s="178" t="inlineStr">
        <is>
          <t>0x04</t>
        </is>
      </c>
      <c r="I193" s="178" t="inlineStr">
        <is>
          <t>0x4B</t>
        </is>
      </c>
      <c r="J193" s="178" t="inlineStr">
        <is>
          <t>0x00</t>
        </is>
      </c>
      <c r="K193" s="130" t="inlineStr">
        <is>
          <t>0x28</t>
        </is>
      </c>
      <c r="L193" s="178" t="inlineStr">
        <is>
          <t>0x00</t>
        </is>
      </c>
      <c r="M193" s="178" t="inlineStr">
        <is>
          <t>0x00</t>
        </is>
      </c>
      <c r="N193" s="178" t="inlineStr">
        <is>
          <t>0x00</t>
        </is>
      </c>
      <c r="O193" s="178" t="inlineStr">
        <is>
          <t>0x00</t>
        </is>
      </c>
      <c r="P193" s="178" t="inlineStr">
        <is>
          <t>0x00</t>
        </is>
      </c>
      <c r="Q193" s="178" t="inlineStr">
        <is>
          <t>0x00</t>
        </is>
      </c>
      <c r="R193" s="178" t="inlineStr">
        <is>
          <t>0x00</t>
        </is>
      </c>
      <c r="S193" s="178" t="inlineStr">
        <is>
          <t>0x00</t>
        </is>
      </c>
      <c r="T193" s="178" t="inlineStr">
        <is>
          <t>0x00</t>
        </is>
      </c>
      <c r="U193" s="178" t="inlineStr">
        <is>
          <t>0x00</t>
        </is>
      </c>
      <c r="V193" s="178" t="inlineStr">
        <is>
          <t>0x00</t>
        </is>
      </c>
      <c r="W193" s="180">
        <f>"0x"&amp;MID(D193,64,2)</f>
        <v/>
      </c>
      <c r="X193" s="180">
        <f>"0x"&amp;MID(D193,67,2)</f>
        <v/>
      </c>
      <c r="Y193" s="182">
        <f>CONCATENATE(RIGHT(G193,2)," ",RIGHT(H193,2)," ",RIGHT(I193,2)," ",RIGHT(J193,2)," ",RIGHT(K193,2)," ",RIGHT(L193,2)," ",RIGHT(M193,2)," ",RIGHT(N193,2)," ",RIGHT(O193,2)," ",RIGHT(P193,2)," ",RIGHT(Q193,2)," ",RIGHT(R193,2)," ",RIGHT(S193,2)," ",RIGHT(T193,2)," ",RIGHT(U193,2)," ",RIGHT(V193,2)," ",RIGHT(W193,2)," ",RIGHT(X193,2))</f>
        <v/>
      </c>
    </row>
    <row r="194">
      <c r="A194" s="222" t="n"/>
      <c r="B194" s="223" t="n"/>
      <c r="C194" s="160" t="inlineStr">
        <is>
          <t>Settings - 50 Gear</t>
        </is>
      </c>
      <c r="D194" s="160" t="inlineStr">
        <is>
          <t>55 43 49 12 00 10 04 4B 00 32 00 00 00 00 00 00 00 00 00 00 00 D5 AA</t>
        </is>
      </c>
      <c r="E194" s="161" t="n"/>
      <c r="F194" s="191" t="n"/>
      <c r="G194" s="192" t="inlineStr">
        <is>
          <t>0x10</t>
        </is>
      </c>
      <c r="H194" s="178" t="inlineStr">
        <is>
          <t>0x04</t>
        </is>
      </c>
      <c r="I194" s="178" t="inlineStr">
        <is>
          <t>0x4B</t>
        </is>
      </c>
      <c r="J194" s="178" t="inlineStr">
        <is>
          <t>0x00</t>
        </is>
      </c>
      <c r="K194" s="130" t="inlineStr">
        <is>
          <t>0x32</t>
        </is>
      </c>
      <c r="L194" s="178" t="inlineStr">
        <is>
          <t>0x00</t>
        </is>
      </c>
      <c r="M194" s="178" t="inlineStr">
        <is>
          <t>0x00</t>
        </is>
      </c>
      <c r="N194" s="178" t="inlineStr">
        <is>
          <t>0x00</t>
        </is>
      </c>
      <c r="O194" s="178" t="inlineStr">
        <is>
          <t>0x00</t>
        </is>
      </c>
      <c r="P194" s="178" t="inlineStr">
        <is>
          <t>0x00</t>
        </is>
      </c>
      <c r="Q194" s="178" t="inlineStr">
        <is>
          <t>0x00</t>
        </is>
      </c>
      <c r="R194" s="178" t="inlineStr">
        <is>
          <t>0x00</t>
        </is>
      </c>
      <c r="S194" s="178" t="inlineStr">
        <is>
          <t>0x00</t>
        </is>
      </c>
      <c r="T194" s="178" t="inlineStr">
        <is>
          <t>0x00</t>
        </is>
      </c>
      <c r="U194" s="178" t="inlineStr">
        <is>
          <t>0x00</t>
        </is>
      </c>
      <c r="V194" s="178" t="inlineStr">
        <is>
          <t>0x00</t>
        </is>
      </c>
      <c r="W194" s="180">
        <f>"0x"&amp;MID(D194,64,2)</f>
        <v/>
      </c>
      <c r="X194" s="180">
        <f>"0x"&amp;MID(D194,67,2)</f>
        <v/>
      </c>
      <c r="Y194" s="182">
        <f>CONCATENATE(RIGHT(G194,2)," ",RIGHT(H194,2)," ",RIGHT(I194,2)," ",RIGHT(J194,2)," ",RIGHT(K194,2)," ",RIGHT(L194,2)," ",RIGHT(M194,2)," ",RIGHT(N194,2)," ",RIGHT(O194,2)," ",RIGHT(P194,2)," ",RIGHT(Q194,2)," ",RIGHT(R194,2)," ",RIGHT(S194,2)," ",RIGHT(T194,2)," ",RIGHT(U194,2)," ",RIGHT(V194,2)," ",RIGHT(W194,2)," ",RIGHT(X194,2))</f>
        <v/>
      </c>
    </row>
    <row r="195">
      <c r="A195" s="222" t="n"/>
      <c r="B195" s="223" t="n"/>
      <c r="C195" s="160" t="inlineStr">
        <is>
          <t>Settings - 60 Gear</t>
        </is>
      </c>
      <c r="D195" s="160" t="inlineStr">
        <is>
          <t>55 43 49 12 00 10 04 4B 00 3C 00 00 00 00 00 00 00 00 00 00 00 43 BA</t>
        </is>
      </c>
      <c r="E195" s="161" t="n"/>
      <c r="F195" s="191" t="n"/>
      <c r="G195" s="192" t="inlineStr">
        <is>
          <t>0x10</t>
        </is>
      </c>
      <c r="H195" s="178" t="inlineStr">
        <is>
          <t>0x04</t>
        </is>
      </c>
      <c r="I195" s="178" t="inlineStr">
        <is>
          <t>0x4B</t>
        </is>
      </c>
      <c r="J195" s="178" t="inlineStr">
        <is>
          <t>0x00</t>
        </is>
      </c>
      <c r="K195" s="130" t="inlineStr">
        <is>
          <t>0x3C</t>
        </is>
      </c>
      <c r="L195" s="178" t="inlineStr">
        <is>
          <t>0x00</t>
        </is>
      </c>
      <c r="M195" s="178" t="inlineStr">
        <is>
          <t>0x00</t>
        </is>
      </c>
      <c r="N195" s="178" t="inlineStr">
        <is>
          <t>0x00</t>
        </is>
      </c>
      <c r="O195" s="178" t="inlineStr">
        <is>
          <t>0x00</t>
        </is>
      </c>
      <c r="P195" s="178" t="inlineStr">
        <is>
          <t>0x00</t>
        </is>
      </c>
      <c r="Q195" s="178" t="inlineStr">
        <is>
          <t>0x00</t>
        </is>
      </c>
      <c r="R195" s="178" t="inlineStr">
        <is>
          <t>0x00</t>
        </is>
      </c>
      <c r="S195" s="178" t="inlineStr">
        <is>
          <t>0x00</t>
        </is>
      </c>
      <c r="T195" s="178" t="inlineStr">
        <is>
          <t>0x00</t>
        </is>
      </c>
      <c r="U195" s="178" t="inlineStr">
        <is>
          <t>0x00</t>
        </is>
      </c>
      <c r="V195" s="178" t="inlineStr">
        <is>
          <t>0x00</t>
        </is>
      </c>
      <c r="W195" s="180">
        <f>"0x"&amp;MID(D195,64,2)</f>
        <v/>
      </c>
      <c r="X195" s="180">
        <f>"0x"&amp;MID(D195,67,2)</f>
        <v/>
      </c>
      <c r="Y195" s="182">
        <f>CONCATENATE(RIGHT(G195,2)," ",RIGHT(H195,2)," ",RIGHT(I195,2)," ",RIGHT(J195,2)," ",RIGHT(K195,2)," ",RIGHT(L195,2)," ",RIGHT(M195,2)," ",RIGHT(N195,2)," ",RIGHT(O195,2)," ",RIGHT(P195,2)," ",RIGHT(Q195,2)," ",RIGHT(R195,2)," ",RIGHT(S195,2)," ",RIGHT(T195,2)," ",RIGHT(U195,2)," ",RIGHT(V195,2)," ",RIGHT(W195,2)," ",RIGHT(X195,2))</f>
        <v/>
      </c>
    </row>
    <row r="196">
      <c r="A196" s="222" t="n"/>
      <c r="B196" s="223" t="n"/>
      <c r="C196" s="160" t="inlineStr">
        <is>
          <t>Settings - 70 Gear</t>
        </is>
      </c>
      <c r="D196" s="160" t="inlineStr">
        <is>
          <t>55 43 49 12 00 10 04 4B 00 46 00 00 00 00 00 00 00 00 00 00 00 B1 23</t>
        </is>
      </c>
      <c r="E196" s="161" t="n"/>
      <c r="F196" s="191" t="n"/>
      <c r="G196" s="192" t="inlineStr">
        <is>
          <t>0x10</t>
        </is>
      </c>
      <c r="H196" s="178" t="inlineStr">
        <is>
          <t>0x04</t>
        </is>
      </c>
      <c r="I196" s="178" t="inlineStr">
        <is>
          <t>0x4B</t>
        </is>
      </c>
      <c r="J196" s="178" t="inlineStr">
        <is>
          <t>0x00</t>
        </is>
      </c>
      <c r="K196" s="130" t="inlineStr">
        <is>
          <t>0x46</t>
        </is>
      </c>
      <c r="L196" s="178" t="inlineStr">
        <is>
          <t>0x00</t>
        </is>
      </c>
      <c r="M196" s="178" t="inlineStr">
        <is>
          <t>0x00</t>
        </is>
      </c>
      <c r="N196" s="178" t="inlineStr">
        <is>
          <t>0x00</t>
        </is>
      </c>
      <c r="O196" s="178" t="inlineStr">
        <is>
          <t>0x00</t>
        </is>
      </c>
      <c r="P196" s="178" t="inlineStr">
        <is>
          <t>0x00</t>
        </is>
      </c>
      <c r="Q196" s="178" t="inlineStr">
        <is>
          <t>0x00</t>
        </is>
      </c>
      <c r="R196" s="178" t="inlineStr">
        <is>
          <t>0x00</t>
        </is>
      </c>
      <c r="S196" s="178" t="inlineStr">
        <is>
          <t>0x00</t>
        </is>
      </c>
      <c r="T196" s="178" t="inlineStr">
        <is>
          <t>0x00</t>
        </is>
      </c>
      <c r="U196" s="178" t="inlineStr">
        <is>
          <t>0x00</t>
        </is>
      </c>
      <c r="V196" s="178" t="inlineStr">
        <is>
          <t>0x00</t>
        </is>
      </c>
      <c r="W196" s="180">
        <f>"0x"&amp;MID(D196,64,2)</f>
        <v/>
      </c>
      <c r="X196" s="180">
        <f>"0x"&amp;MID(D196,67,2)</f>
        <v/>
      </c>
      <c r="Y196" s="182">
        <f>CONCATENATE(RIGHT(G196,2)," ",RIGHT(H196,2)," ",RIGHT(I196,2)," ",RIGHT(J196,2)," ",RIGHT(K196,2)," ",RIGHT(L196,2)," ",RIGHT(M196,2)," ",RIGHT(N196,2)," ",RIGHT(O196,2)," ",RIGHT(P196,2)," ",RIGHT(Q196,2)," ",RIGHT(R196,2)," ",RIGHT(S196,2)," ",RIGHT(T196,2)," ",RIGHT(U196,2)," ",RIGHT(V196,2)," ",RIGHT(W196,2)," ",RIGHT(X196,2))</f>
        <v/>
      </c>
    </row>
    <row r="197">
      <c r="A197" s="222" t="n"/>
      <c r="B197" s="223" t="n"/>
      <c r="C197" s="160" t="inlineStr">
        <is>
          <t>Settings - 80 Gear</t>
        </is>
      </c>
      <c r="D197" s="160" t="inlineStr">
        <is>
          <t>55 43 49 12 00 10 04 4B 00 50 00 00 00 00 00 00 00 00 00 00 00 DF 1F</t>
        </is>
      </c>
      <c r="E197" s="161" t="n"/>
      <c r="F197" s="191" t="n"/>
      <c r="G197" s="192" t="inlineStr">
        <is>
          <t>0x10</t>
        </is>
      </c>
      <c r="H197" s="178" t="inlineStr">
        <is>
          <t>0x04</t>
        </is>
      </c>
      <c r="I197" s="178" t="inlineStr">
        <is>
          <t>0x4B</t>
        </is>
      </c>
      <c r="J197" s="178" t="inlineStr">
        <is>
          <t>0x00</t>
        </is>
      </c>
      <c r="K197" s="130" t="inlineStr">
        <is>
          <t>0x50</t>
        </is>
      </c>
      <c r="L197" s="178" t="inlineStr">
        <is>
          <t>0x00</t>
        </is>
      </c>
      <c r="M197" s="178" t="inlineStr">
        <is>
          <t>0x00</t>
        </is>
      </c>
      <c r="N197" s="178" t="inlineStr">
        <is>
          <t>0x00</t>
        </is>
      </c>
      <c r="O197" s="178" t="inlineStr">
        <is>
          <t>0x00</t>
        </is>
      </c>
      <c r="P197" s="178" t="inlineStr">
        <is>
          <t>0x00</t>
        </is>
      </c>
      <c r="Q197" s="178" t="inlineStr">
        <is>
          <t>0x00</t>
        </is>
      </c>
      <c r="R197" s="178" t="inlineStr">
        <is>
          <t>0x00</t>
        </is>
      </c>
      <c r="S197" s="178" t="inlineStr">
        <is>
          <t>0x00</t>
        </is>
      </c>
      <c r="T197" s="178" t="inlineStr">
        <is>
          <t>0x00</t>
        </is>
      </c>
      <c r="U197" s="178" t="inlineStr">
        <is>
          <t>0x00</t>
        </is>
      </c>
      <c r="V197" s="178" t="inlineStr">
        <is>
          <t>0x00</t>
        </is>
      </c>
      <c r="W197" s="180">
        <f>"0x"&amp;MID(D197,64,2)</f>
        <v/>
      </c>
      <c r="X197" s="180">
        <f>"0x"&amp;MID(D197,67,2)</f>
        <v/>
      </c>
      <c r="Y197" s="182">
        <f>CONCATENATE(RIGHT(G197,2)," ",RIGHT(H197,2)," ",RIGHT(I197,2)," ",RIGHT(J197,2)," ",RIGHT(K197,2)," ",RIGHT(L197,2)," ",RIGHT(M197,2)," ",RIGHT(N197,2)," ",RIGHT(O197,2)," ",RIGHT(P197,2)," ",RIGHT(Q197,2)," ",RIGHT(R197,2)," ",RIGHT(S197,2)," ",RIGHT(T197,2)," ",RIGHT(U197,2)," ",RIGHT(V197,2)," ",RIGHT(W197,2)," ",RIGHT(X197,2))</f>
        <v/>
      </c>
    </row>
    <row r="198">
      <c r="A198" s="222" t="n"/>
      <c r="B198" s="223" t="n"/>
      <c r="C198" s="160" t="inlineStr">
        <is>
          <t>Settings - 90 Gear</t>
        </is>
      </c>
      <c r="D198" s="160" t="inlineStr">
        <is>
          <t>55 43 49 12 00 10 04 4B 00 5A 00 00 00 00 00 00 00 00 00 00 00 9D 02</t>
        </is>
      </c>
      <c r="E198" s="161" t="n"/>
      <c r="F198" s="191" t="n"/>
      <c r="G198" s="192" t="inlineStr">
        <is>
          <t>0x10</t>
        </is>
      </c>
      <c r="H198" s="178" t="inlineStr">
        <is>
          <t>0x04</t>
        </is>
      </c>
      <c r="I198" s="178" t="inlineStr">
        <is>
          <t>0x4B</t>
        </is>
      </c>
      <c r="J198" s="178" t="inlineStr">
        <is>
          <t>0x00</t>
        </is>
      </c>
      <c r="K198" s="130" t="inlineStr">
        <is>
          <t>0x5A</t>
        </is>
      </c>
      <c r="L198" s="178" t="inlineStr">
        <is>
          <t>0x00</t>
        </is>
      </c>
      <c r="M198" s="178" t="inlineStr">
        <is>
          <t>0x00</t>
        </is>
      </c>
      <c r="N198" s="178" t="inlineStr">
        <is>
          <t>0x00</t>
        </is>
      </c>
      <c r="O198" s="178" t="inlineStr">
        <is>
          <t>0x00</t>
        </is>
      </c>
      <c r="P198" s="178" t="inlineStr">
        <is>
          <t>0x00</t>
        </is>
      </c>
      <c r="Q198" s="178" t="inlineStr">
        <is>
          <t>0x00</t>
        </is>
      </c>
      <c r="R198" s="178" t="inlineStr">
        <is>
          <t>0x00</t>
        </is>
      </c>
      <c r="S198" s="178" t="inlineStr">
        <is>
          <t>0x00</t>
        </is>
      </c>
      <c r="T198" s="178" t="inlineStr">
        <is>
          <t>0x00</t>
        </is>
      </c>
      <c r="U198" s="178" t="inlineStr">
        <is>
          <t>0x00</t>
        </is>
      </c>
      <c r="V198" s="178" t="inlineStr">
        <is>
          <t>0x00</t>
        </is>
      </c>
      <c r="W198" s="180">
        <f>"0x"&amp;MID(D198,64,2)</f>
        <v/>
      </c>
      <c r="X198" s="180">
        <f>"0x"&amp;MID(D198,67,2)</f>
        <v/>
      </c>
      <c r="Y198" s="182">
        <f>CONCATENATE(RIGHT(G198,2)," ",RIGHT(H198,2)," ",RIGHT(I198,2)," ",RIGHT(J198,2)," ",RIGHT(K198,2)," ",RIGHT(L198,2)," ",RIGHT(M198,2)," ",RIGHT(N198,2)," ",RIGHT(O198,2)," ",RIGHT(P198,2)," ",RIGHT(Q198,2)," ",RIGHT(R198,2)," ",RIGHT(S198,2)," ",RIGHT(T198,2)," ",RIGHT(U198,2)," ",RIGHT(V198,2)," ",RIGHT(W198,2)," ",RIGHT(X198,2))</f>
        <v/>
      </c>
    </row>
    <row r="199">
      <c r="A199" s="222" t="n"/>
      <c r="B199" s="223" t="n"/>
      <c r="C199" s="160" t="inlineStr">
        <is>
          <t>Settings - 100 Gear</t>
        </is>
      </c>
      <c r="D199" s="160" t="inlineStr">
        <is>
          <t>55 43 49 12 00 10 04 4B 00 64 00 00 00 00 00 00 00 00 00 00 00 FB 4B</t>
        </is>
      </c>
      <c r="E199" s="161" t="n"/>
      <c r="F199" s="191" t="n"/>
      <c r="G199" s="192" t="inlineStr">
        <is>
          <t>0x10</t>
        </is>
      </c>
      <c r="H199" s="178" t="inlineStr">
        <is>
          <t>0x04</t>
        </is>
      </c>
      <c r="I199" s="178" t="inlineStr">
        <is>
          <t>0x4B</t>
        </is>
      </c>
      <c r="J199" s="178" t="inlineStr">
        <is>
          <t>0x00</t>
        </is>
      </c>
      <c r="K199" s="130" t="inlineStr">
        <is>
          <t>0x64</t>
        </is>
      </c>
      <c r="L199" s="178" t="inlineStr">
        <is>
          <t>0x00</t>
        </is>
      </c>
      <c r="M199" s="178" t="inlineStr">
        <is>
          <t>0x00</t>
        </is>
      </c>
      <c r="N199" s="178" t="inlineStr">
        <is>
          <t>0x00</t>
        </is>
      </c>
      <c r="O199" s="178" t="inlineStr">
        <is>
          <t>0x00</t>
        </is>
      </c>
      <c r="P199" s="178" t="inlineStr">
        <is>
          <t>0x00</t>
        </is>
      </c>
      <c r="Q199" s="178" t="inlineStr">
        <is>
          <t>0x00</t>
        </is>
      </c>
      <c r="R199" s="178" t="inlineStr">
        <is>
          <t>0x00</t>
        </is>
      </c>
      <c r="S199" s="178" t="inlineStr">
        <is>
          <t>0x00</t>
        </is>
      </c>
      <c r="T199" s="178" t="inlineStr">
        <is>
          <t>0x00</t>
        </is>
      </c>
      <c r="U199" s="178" t="inlineStr">
        <is>
          <t>0x00</t>
        </is>
      </c>
      <c r="V199" s="178" t="inlineStr">
        <is>
          <t>0x00</t>
        </is>
      </c>
      <c r="W199" s="180">
        <f>"0x"&amp;MID(D199,64,2)</f>
        <v/>
      </c>
      <c r="X199" s="180">
        <f>"0x"&amp;MID(D199,67,2)</f>
        <v/>
      </c>
      <c r="Y199" s="182">
        <f>CONCATENATE(RIGHT(G199,2)," ",RIGHT(H199,2)," ",RIGHT(I199,2)," ",RIGHT(J199,2)," ",RIGHT(K199,2)," ",RIGHT(L199,2)," ",RIGHT(M199,2)," ",RIGHT(N199,2)," ",RIGHT(O199,2)," ",RIGHT(P199,2)," ",RIGHT(Q199,2)," ",RIGHT(R199,2)," ",RIGHT(S199,2)," ",RIGHT(T199,2)," ",RIGHT(U199,2)," ",RIGHT(V199,2)," ",RIGHT(W199,2)," ",RIGHT(X199,2))</f>
        <v/>
      </c>
    </row>
    <row r="200">
      <c r="A200" s="222" t="n"/>
      <c r="B200" s="225" t="n"/>
      <c r="C200" s="160" t="inlineStr">
        <is>
          <t>Get</t>
        </is>
      </c>
      <c r="D200" s="160" t="inlineStr">
        <is>
          <t>55 43 49 12 00 10 04 8B 00 01 00 00 00 00 00 00 00 01 00 00 00 CF FC</t>
        </is>
      </c>
      <c r="E200" s="161" t="n"/>
      <c r="F200" s="191" t="n"/>
      <c r="G200" s="192" t="inlineStr">
        <is>
          <t>0x10</t>
        </is>
      </c>
      <c r="H200" s="178" t="inlineStr">
        <is>
          <t>0x04</t>
        </is>
      </c>
      <c r="I200" s="178" t="inlineStr">
        <is>
          <t>0x8B</t>
        </is>
      </c>
      <c r="J200" s="178" t="inlineStr">
        <is>
          <t>0x00</t>
        </is>
      </c>
      <c r="K200" s="130" t="inlineStr">
        <is>
          <t>0x01</t>
        </is>
      </c>
      <c r="L200" s="178" t="inlineStr">
        <is>
          <t>0x00</t>
        </is>
      </c>
      <c r="M200" s="178" t="inlineStr">
        <is>
          <t>0x00</t>
        </is>
      </c>
      <c r="N200" s="178" t="inlineStr">
        <is>
          <t>0x00</t>
        </is>
      </c>
      <c r="O200" s="178" t="inlineStr">
        <is>
          <t>0x00</t>
        </is>
      </c>
      <c r="P200" s="178" t="inlineStr">
        <is>
          <t>0x00</t>
        </is>
      </c>
      <c r="Q200" s="178" t="inlineStr">
        <is>
          <t>0x00</t>
        </is>
      </c>
      <c r="R200" s="178" t="inlineStr">
        <is>
          <t>0x00</t>
        </is>
      </c>
      <c r="S200" s="178" t="inlineStr">
        <is>
          <t>0x01</t>
        </is>
      </c>
      <c r="T200" s="178" t="inlineStr">
        <is>
          <t>0x00</t>
        </is>
      </c>
      <c r="U200" s="178" t="inlineStr">
        <is>
          <t>0x00</t>
        </is>
      </c>
      <c r="V200" s="178" t="inlineStr">
        <is>
          <t>0x00</t>
        </is>
      </c>
      <c r="W200" s="180">
        <f>"0x"&amp;MID(D200,64,2)</f>
        <v/>
      </c>
      <c r="X200" s="180">
        <f>"0x"&amp;MID(D200,67,2)</f>
        <v/>
      </c>
      <c r="Y200" s="182">
        <f>CONCATENATE(RIGHT(G200,2)," ",RIGHT(H200,2)," ",RIGHT(I200,2)," ",RIGHT(J200,2)," ",RIGHT(K200,2)," ",RIGHT(L200,2)," ",RIGHT(M200,2)," ",RIGHT(N200,2)," ",RIGHT(O200,2)," ",RIGHT(P200,2)," ",RIGHT(Q200,2)," ",RIGHT(R200,2)," ",RIGHT(S200,2)," ",RIGHT(T200,2)," ",RIGHT(U200,2)," ",RIGHT(V200,2)," ",RIGHT(W200,2)," ",RIGHT(X200,2))</f>
        <v/>
      </c>
    </row>
    <row r="201">
      <c r="A201" s="222" t="n"/>
      <c r="B201" s="160" t="inlineStr">
        <is>
          <t>Temporal Noise Reduction</t>
        </is>
      </c>
      <c r="C201" s="160" t="inlineStr">
        <is>
          <t>Settings - 0 Gear</t>
        </is>
      </c>
      <c r="D201" s="160" t="inlineStr">
        <is>
          <t>55 43 49 12 00 10 04 4C 00 00 00 00 00 00 00 00 00 00 00 00 00 C9 85</t>
        </is>
      </c>
      <c r="E201" s="161" t="n"/>
      <c r="F201" s="191" t="n"/>
      <c r="G201" s="192" t="inlineStr">
        <is>
          <t>0x10</t>
        </is>
      </c>
      <c r="H201" s="178" t="inlineStr">
        <is>
          <t>0x04</t>
        </is>
      </c>
      <c r="I201" s="178" t="inlineStr">
        <is>
          <t>0x4C</t>
        </is>
      </c>
      <c r="J201" s="178" t="inlineStr">
        <is>
          <t>0x00</t>
        </is>
      </c>
      <c r="K201" s="130" t="inlineStr">
        <is>
          <t>0x00</t>
        </is>
      </c>
      <c r="L201" s="178" t="inlineStr">
        <is>
          <t>0x00</t>
        </is>
      </c>
      <c r="M201" s="178" t="inlineStr">
        <is>
          <t>0x00</t>
        </is>
      </c>
      <c r="N201" s="178" t="inlineStr">
        <is>
          <t>0x00</t>
        </is>
      </c>
      <c r="O201" s="178" t="inlineStr">
        <is>
          <t>0x00</t>
        </is>
      </c>
      <c r="P201" s="178" t="inlineStr">
        <is>
          <t>0x00</t>
        </is>
      </c>
      <c r="Q201" s="178" t="inlineStr">
        <is>
          <t>0x00</t>
        </is>
      </c>
      <c r="R201" s="178" t="inlineStr">
        <is>
          <t>0x00</t>
        </is>
      </c>
      <c r="S201" s="178" t="inlineStr">
        <is>
          <t>0x00</t>
        </is>
      </c>
      <c r="T201" s="178" t="inlineStr">
        <is>
          <t>0x00</t>
        </is>
      </c>
      <c r="U201" s="178" t="inlineStr">
        <is>
          <t>0x00</t>
        </is>
      </c>
      <c r="V201" s="178" t="inlineStr">
        <is>
          <t>0x00</t>
        </is>
      </c>
      <c r="W201" s="180">
        <f>"0x"&amp;MID(D201,64,2)</f>
        <v/>
      </c>
      <c r="X201" s="180">
        <f>"0x"&amp;MID(D201,67,2)</f>
        <v/>
      </c>
      <c r="Y201" s="182">
        <f>CONCATENATE(RIGHT(G201,2)," ",RIGHT(H201,2)," ",RIGHT(I201,2)," ",RIGHT(J201,2)," ",RIGHT(K201,2)," ",RIGHT(L201,2)," ",RIGHT(M201,2)," ",RIGHT(N201,2)," ",RIGHT(O201,2)," ",RIGHT(P201,2)," ",RIGHT(Q201,2)," ",RIGHT(R201,2)," ",RIGHT(S201,2)," ",RIGHT(T201,2)," ",RIGHT(U201,2)," ",RIGHT(V201,2)," ",RIGHT(W201,2)," ",RIGHT(X201,2))</f>
        <v/>
      </c>
    </row>
    <row r="202">
      <c r="A202" s="222" t="n"/>
      <c r="B202" s="223" t="n"/>
      <c r="C202" s="160" t="inlineStr">
        <is>
          <t>Settings - 10 Gear</t>
        </is>
      </c>
      <c r="D202" s="160" t="inlineStr">
        <is>
          <t>55 43 49 12 00 10 04 4C 00 0A 00 00 00 00 00 00 00 00 00 00 00 8B 98</t>
        </is>
      </c>
      <c r="E202" s="161" t="n"/>
      <c r="F202" s="191" t="n"/>
      <c r="G202" s="192" t="inlineStr">
        <is>
          <t>0x10</t>
        </is>
      </c>
      <c r="H202" s="178" t="inlineStr">
        <is>
          <t>0x04</t>
        </is>
      </c>
      <c r="I202" s="178" t="inlineStr">
        <is>
          <t>0x4C</t>
        </is>
      </c>
      <c r="J202" s="178" t="inlineStr">
        <is>
          <t>0x00</t>
        </is>
      </c>
      <c r="K202" s="130" t="inlineStr">
        <is>
          <t>0x0A</t>
        </is>
      </c>
      <c r="L202" s="178" t="inlineStr">
        <is>
          <t>0x00</t>
        </is>
      </c>
      <c r="M202" s="178" t="inlineStr">
        <is>
          <t>0x00</t>
        </is>
      </c>
      <c r="N202" s="178" t="inlineStr">
        <is>
          <t>0x00</t>
        </is>
      </c>
      <c r="O202" s="178" t="inlineStr">
        <is>
          <t>0x00</t>
        </is>
      </c>
      <c r="P202" s="178" t="inlineStr">
        <is>
          <t>0x00</t>
        </is>
      </c>
      <c r="Q202" s="178" t="inlineStr">
        <is>
          <t>0x00</t>
        </is>
      </c>
      <c r="R202" s="178" t="inlineStr">
        <is>
          <t>0x00</t>
        </is>
      </c>
      <c r="S202" s="178" t="inlineStr">
        <is>
          <t>0x00</t>
        </is>
      </c>
      <c r="T202" s="178" t="inlineStr">
        <is>
          <t>0x00</t>
        </is>
      </c>
      <c r="U202" s="178" t="inlineStr">
        <is>
          <t>0x00</t>
        </is>
      </c>
      <c r="V202" s="178" t="inlineStr">
        <is>
          <t>0x00</t>
        </is>
      </c>
      <c r="W202" s="180">
        <f>"0x"&amp;MID(D202,64,2)</f>
        <v/>
      </c>
      <c r="X202" s="180">
        <f>"0x"&amp;MID(D202,67,2)</f>
        <v/>
      </c>
      <c r="Y202" s="182">
        <f>CONCATENATE(RIGHT(G202,2)," ",RIGHT(H202,2)," ",RIGHT(I202,2)," ",RIGHT(J202,2)," ",RIGHT(K202,2)," ",RIGHT(L202,2)," ",RIGHT(M202,2)," ",RIGHT(N202,2)," ",RIGHT(O202,2)," ",RIGHT(P202,2)," ",RIGHT(Q202,2)," ",RIGHT(R202,2)," ",RIGHT(S202,2)," ",RIGHT(T202,2)," ",RIGHT(U202,2)," ",RIGHT(V202,2)," ",RIGHT(W202,2)," ",RIGHT(X202,2))</f>
        <v/>
      </c>
    </row>
    <row r="203">
      <c r="A203" s="222" t="n"/>
      <c r="B203" s="223" t="n"/>
      <c r="C203" s="160" t="inlineStr">
        <is>
          <t>Settings - 20 Gear</t>
        </is>
      </c>
      <c r="D203" s="160" t="inlineStr">
        <is>
          <t>55 43 49 12 00 10 04 4C 00 14 00 00 00 00 00 00 00 00 00 00 00 4D BF</t>
        </is>
      </c>
      <c r="E203" s="161" t="n"/>
      <c r="F203" s="191" t="n"/>
      <c r="G203" s="192" t="inlineStr">
        <is>
          <t>0x10</t>
        </is>
      </c>
      <c r="H203" s="178" t="inlineStr">
        <is>
          <t>0x04</t>
        </is>
      </c>
      <c r="I203" s="178" t="inlineStr">
        <is>
          <t>0x4C</t>
        </is>
      </c>
      <c r="J203" s="178" t="inlineStr">
        <is>
          <t>0x00</t>
        </is>
      </c>
      <c r="K203" s="130" t="inlineStr">
        <is>
          <t>0x14</t>
        </is>
      </c>
      <c r="L203" s="178" t="inlineStr">
        <is>
          <t>0x00</t>
        </is>
      </c>
      <c r="M203" s="178" t="inlineStr">
        <is>
          <t>0x00</t>
        </is>
      </c>
      <c r="N203" s="178" t="inlineStr">
        <is>
          <t>0x00</t>
        </is>
      </c>
      <c r="O203" s="178" t="inlineStr">
        <is>
          <t>0x00</t>
        </is>
      </c>
      <c r="P203" s="178" t="inlineStr">
        <is>
          <t>0x00</t>
        </is>
      </c>
      <c r="Q203" s="178" t="inlineStr">
        <is>
          <t>0x00</t>
        </is>
      </c>
      <c r="R203" s="178" t="inlineStr">
        <is>
          <t>0x00</t>
        </is>
      </c>
      <c r="S203" s="178" t="inlineStr">
        <is>
          <t>0x00</t>
        </is>
      </c>
      <c r="T203" s="178" t="inlineStr">
        <is>
          <t>0x00</t>
        </is>
      </c>
      <c r="U203" s="178" t="inlineStr">
        <is>
          <t>0x00</t>
        </is>
      </c>
      <c r="V203" s="178" t="inlineStr">
        <is>
          <t>0x00</t>
        </is>
      </c>
      <c r="W203" s="180">
        <f>"0x"&amp;MID(D203,64,2)</f>
        <v/>
      </c>
      <c r="X203" s="180">
        <f>"0x"&amp;MID(D203,67,2)</f>
        <v/>
      </c>
      <c r="Y203" s="182">
        <f>CONCATENATE(RIGHT(G203,2)," ",RIGHT(H203,2)," ",RIGHT(I203,2)," ",RIGHT(J203,2)," ",RIGHT(K203,2)," ",RIGHT(L203,2)," ",RIGHT(M203,2)," ",RIGHT(N203,2)," ",RIGHT(O203,2)," ",RIGHT(P203,2)," ",RIGHT(Q203,2)," ",RIGHT(R203,2)," ",RIGHT(S203,2)," ",RIGHT(T203,2)," ",RIGHT(U203,2)," ",RIGHT(V203,2)," ",RIGHT(W203,2)," ",RIGHT(X203,2))</f>
        <v/>
      </c>
    </row>
    <row r="204">
      <c r="A204" s="222" t="n"/>
      <c r="B204" s="223" t="n"/>
      <c r="C204" s="160" t="inlineStr">
        <is>
          <t>Settings - 30 Gear</t>
        </is>
      </c>
      <c r="D204" s="160" t="inlineStr">
        <is>
          <t>55 43 49 12 00 10 04 4C 00 1E 00 00 00 00 00 00 00 00 00 00 00 0F A2</t>
        </is>
      </c>
      <c r="E204" s="161" t="n"/>
      <c r="F204" s="191" t="n"/>
      <c r="G204" s="192" t="inlineStr">
        <is>
          <t>0x10</t>
        </is>
      </c>
      <c r="H204" s="178" t="inlineStr">
        <is>
          <t>0x04</t>
        </is>
      </c>
      <c r="I204" s="178" t="inlineStr">
        <is>
          <t>0x4C</t>
        </is>
      </c>
      <c r="J204" s="178" t="inlineStr">
        <is>
          <t>0x00</t>
        </is>
      </c>
      <c r="K204" s="130" t="inlineStr">
        <is>
          <t>0x1E</t>
        </is>
      </c>
      <c r="L204" s="178" t="inlineStr">
        <is>
          <t>0x00</t>
        </is>
      </c>
      <c r="M204" s="178" t="inlineStr">
        <is>
          <t>0x00</t>
        </is>
      </c>
      <c r="N204" s="178" t="inlineStr">
        <is>
          <t>0x00</t>
        </is>
      </c>
      <c r="O204" s="178" t="inlineStr">
        <is>
          <t>0x00</t>
        </is>
      </c>
      <c r="P204" s="178" t="inlineStr">
        <is>
          <t>0x00</t>
        </is>
      </c>
      <c r="Q204" s="178" t="inlineStr">
        <is>
          <t>0x00</t>
        </is>
      </c>
      <c r="R204" s="178" t="inlineStr">
        <is>
          <t>0x00</t>
        </is>
      </c>
      <c r="S204" s="178" t="inlineStr">
        <is>
          <t>0x00</t>
        </is>
      </c>
      <c r="T204" s="178" t="inlineStr">
        <is>
          <t>0x00</t>
        </is>
      </c>
      <c r="U204" s="178" t="inlineStr">
        <is>
          <t>0x00</t>
        </is>
      </c>
      <c r="V204" s="178" t="inlineStr">
        <is>
          <t>0x00</t>
        </is>
      </c>
      <c r="W204" s="180">
        <f>"0x"&amp;MID(D204,64,2)</f>
        <v/>
      </c>
      <c r="X204" s="180">
        <f>"0x"&amp;MID(D204,67,2)</f>
        <v/>
      </c>
      <c r="Y204" s="182">
        <f>CONCATENATE(RIGHT(G204,2)," ",RIGHT(H204,2)," ",RIGHT(I204,2)," ",RIGHT(J204,2)," ",RIGHT(K204,2)," ",RIGHT(L204,2)," ",RIGHT(M204,2)," ",RIGHT(N204,2)," ",RIGHT(O204,2)," ",RIGHT(P204,2)," ",RIGHT(Q204,2)," ",RIGHT(R204,2)," ",RIGHT(S204,2)," ",RIGHT(T204,2)," ",RIGHT(U204,2)," ",RIGHT(V204,2)," ",RIGHT(W204,2)," ",RIGHT(X204,2))</f>
        <v/>
      </c>
    </row>
    <row r="205">
      <c r="A205" s="222" t="n"/>
      <c r="B205" s="223" t="n"/>
      <c r="C205" s="160" t="inlineStr">
        <is>
          <t>Settings - 40 Gear</t>
        </is>
      </c>
      <c r="D205" s="160" t="inlineStr">
        <is>
          <t>55 43 49 12 00 10 04 4C 00 28 00 00 00 00 00 00 00 00 00 00 00 C1 F0</t>
        </is>
      </c>
      <c r="E205" s="161" t="n"/>
      <c r="F205" s="191" t="n"/>
      <c r="G205" s="192" t="inlineStr">
        <is>
          <t>0x10</t>
        </is>
      </c>
      <c r="H205" s="178" t="inlineStr">
        <is>
          <t>0x04</t>
        </is>
      </c>
      <c r="I205" s="178" t="inlineStr">
        <is>
          <t>0x4C</t>
        </is>
      </c>
      <c r="J205" s="178" t="inlineStr">
        <is>
          <t>0x00</t>
        </is>
      </c>
      <c r="K205" s="130" t="inlineStr">
        <is>
          <t>0x28</t>
        </is>
      </c>
      <c r="L205" s="178" t="inlineStr">
        <is>
          <t>0x00</t>
        </is>
      </c>
      <c r="M205" s="178" t="inlineStr">
        <is>
          <t>0x00</t>
        </is>
      </c>
      <c r="N205" s="178" t="inlineStr">
        <is>
          <t>0x00</t>
        </is>
      </c>
      <c r="O205" s="178" t="inlineStr">
        <is>
          <t>0x00</t>
        </is>
      </c>
      <c r="P205" s="178" t="inlineStr">
        <is>
          <t>0x00</t>
        </is>
      </c>
      <c r="Q205" s="178" t="inlineStr">
        <is>
          <t>0x00</t>
        </is>
      </c>
      <c r="R205" s="178" t="inlineStr">
        <is>
          <t>0x00</t>
        </is>
      </c>
      <c r="S205" s="178" t="inlineStr">
        <is>
          <t>0x00</t>
        </is>
      </c>
      <c r="T205" s="178" t="inlineStr">
        <is>
          <t>0x00</t>
        </is>
      </c>
      <c r="U205" s="178" t="inlineStr">
        <is>
          <t>0x00</t>
        </is>
      </c>
      <c r="V205" s="178" t="inlineStr">
        <is>
          <t>0x00</t>
        </is>
      </c>
      <c r="W205" s="180">
        <f>"0x"&amp;MID(D205,64,2)</f>
        <v/>
      </c>
      <c r="X205" s="180">
        <f>"0x"&amp;MID(D205,67,2)</f>
        <v/>
      </c>
      <c r="Y205" s="182">
        <f>CONCATENATE(RIGHT(G205,2)," ",RIGHT(H205,2)," ",RIGHT(I205,2)," ",RIGHT(J205,2)," ",RIGHT(K205,2)," ",RIGHT(L205,2)," ",RIGHT(M205,2)," ",RIGHT(N205,2)," ",RIGHT(O205,2)," ",RIGHT(P205,2)," ",RIGHT(Q205,2)," ",RIGHT(R205,2)," ",RIGHT(S205,2)," ",RIGHT(T205,2)," ",RIGHT(U205,2)," ",RIGHT(V205,2)," ",RIGHT(W205,2)," ",RIGHT(X205,2))</f>
        <v/>
      </c>
    </row>
    <row r="206">
      <c r="A206" s="222" t="n"/>
      <c r="B206" s="223" t="n"/>
      <c r="C206" s="160" t="inlineStr">
        <is>
          <t>Settings - 50 Gear</t>
        </is>
      </c>
      <c r="D206" s="160" t="inlineStr">
        <is>
          <t>55 43 49 12 00 10 04 4C 00 32 00 00 00 00 00 00 00 00 00 00 00 D3 DA</t>
        </is>
      </c>
      <c r="E206" s="161" t="n"/>
      <c r="F206" s="191" t="n"/>
      <c r="G206" s="192" t="inlineStr">
        <is>
          <t>0x10</t>
        </is>
      </c>
      <c r="H206" s="178" t="inlineStr">
        <is>
          <t>0x04</t>
        </is>
      </c>
      <c r="I206" s="178" t="inlineStr">
        <is>
          <t>0x4C</t>
        </is>
      </c>
      <c r="J206" s="178" t="inlineStr">
        <is>
          <t>0x00</t>
        </is>
      </c>
      <c r="K206" s="130" t="inlineStr">
        <is>
          <t>0x32</t>
        </is>
      </c>
      <c r="L206" s="178" t="inlineStr">
        <is>
          <t>0x00</t>
        </is>
      </c>
      <c r="M206" s="178" t="inlineStr">
        <is>
          <t>0x00</t>
        </is>
      </c>
      <c r="N206" s="178" t="inlineStr">
        <is>
          <t>0x00</t>
        </is>
      </c>
      <c r="O206" s="178" t="inlineStr">
        <is>
          <t>0x00</t>
        </is>
      </c>
      <c r="P206" s="178" t="inlineStr">
        <is>
          <t>0x00</t>
        </is>
      </c>
      <c r="Q206" s="178" t="inlineStr">
        <is>
          <t>0x00</t>
        </is>
      </c>
      <c r="R206" s="178" t="inlineStr">
        <is>
          <t>0x00</t>
        </is>
      </c>
      <c r="S206" s="178" t="inlineStr">
        <is>
          <t>0x00</t>
        </is>
      </c>
      <c r="T206" s="178" t="inlineStr">
        <is>
          <t>0x00</t>
        </is>
      </c>
      <c r="U206" s="178" t="inlineStr">
        <is>
          <t>0x00</t>
        </is>
      </c>
      <c r="V206" s="178" t="inlineStr">
        <is>
          <t>0x00</t>
        </is>
      </c>
      <c r="W206" s="180">
        <f>"0x"&amp;MID(D206,64,2)</f>
        <v/>
      </c>
      <c r="X206" s="180">
        <f>"0x"&amp;MID(D206,67,2)</f>
        <v/>
      </c>
      <c r="Y206" s="182">
        <f>CONCATENATE(RIGHT(G206,2)," ",RIGHT(H206,2)," ",RIGHT(I206,2)," ",RIGHT(J206,2)," ",RIGHT(K206,2)," ",RIGHT(L206,2)," ",RIGHT(M206,2)," ",RIGHT(N206,2)," ",RIGHT(O206,2)," ",RIGHT(P206,2)," ",RIGHT(Q206,2)," ",RIGHT(R206,2)," ",RIGHT(S206,2)," ",RIGHT(T206,2)," ",RIGHT(U206,2)," ",RIGHT(V206,2)," ",RIGHT(W206,2)," ",RIGHT(X206,2))</f>
        <v/>
      </c>
    </row>
    <row r="207">
      <c r="A207" s="222" t="n"/>
      <c r="B207" s="223" t="n"/>
      <c r="C207" s="160" t="inlineStr">
        <is>
          <t>Settings - 60 Gear</t>
        </is>
      </c>
      <c r="D207" s="160" t="inlineStr">
        <is>
          <t>55 43 49 12 00 10 04 4C 00 3C 00 00 00 00 00 00 00 00 00 00 00 45 CA</t>
        </is>
      </c>
      <c r="E207" s="161" t="n"/>
      <c r="F207" s="191" t="n"/>
      <c r="G207" s="192" t="inlineStr">
        <is>
          <t>0x10</t>
        </is>
      </c>
      <c r="H207" s="178" t="inlineStr">
        <is>
          <t>0x04</t>
        </is>
      </c>
      <c r="I207" s="178" t="inlineStr">
        <is>
          <t>0x4C</t>
        </is>
      </c>
      <c r="J207" s="178" t="inlineStr">
        <is>
          <t>0x00</t>
        </is>
      </c>
      <c r="K207" s="130" t="inlineStr">
        <is>
          <t>0x3C</t>
        </is>
      </c>
      <c r="L207" s="178" t="inlineStr">
        <is>
          <t>0x00</t>
        </is>
      </c>
      <c r="M207" s="178" t="inlineStr">
        <is>
          <t>0x00</t>
        </is>
      </c>
      <c r="N207" s="178" t="inlineStr">
        <is>
          <t>0x00</t>
        </is>
      </c>
      <c r="O207" s="178" t="inlineStr">
        <is>
          <t>0x00</t>
        </is>
      </c>
      <c r="P207" s="178" t="inlineStr">
        <is>
          <t>0x00</t>
        </is>
      </c>
      <c r="Q207" s="178" t="inlineStr">
        <is>
          <t>0x00</t>
        </is>
      </c>
      <c r="R207" s="178" t="inlineStr">
        <is>
          <t>0x00</t>
        </is>
      </c>
      <c r="S207" s="178" t="inlineStr">
        <is>
          <t>0x00</t>
        </is>
      </c>
      <c r="T207" s="178" t="inlineStr">
        <is>
          <t>0x00</t>
        </is>
      </c>
      <c r="U207" s="178" t="inlineStr">
        <is>
          <t>0x00</t>
        </is>
      </c>
      <c r="V207" s="178" t="inlineStr">
        <is>
          <t>0x00</t>
        </is>
      </c>
      <c r="W207" s="180">
        <f>"0x"&amp;MID(D207,64,2)</f>
        <v/>
      </c>
      <c r="X207" s="180">
        <f>"0x"&amp;MID(D207,67,2)</f>
        <v/>
      </c>
      <c r="Y207" s="182">
        <f>CONCATENATE(RIGHT(G207,2)," ",RIGHT(H207,2)," ",RIGHT(I207,2)," ",RIGHT(J207,2)," ",RIGHT(K207,2)," ",RIGHT(L207,2)," ",RIGHT(M207,2)," ",RIGHT(N207,2)," ",RIGHT(O207,2)," ",RIGHT(P207,2)," ",RIGHT(Q207,2)," ",RIGHT(R207,2)," ",RIGHT(S207,2)," ",RIGHT(T207,2)," ",RIGHT(U207,2)," ",RIGHT(V207,2)," ",RIGHT(W207,2)," ",RIGHT(X207,2))</f>
        <v/>
      </c>
    </row>
    <row r="208">
      <c r="A208" s="222" t="n"/>
      <c r="B208" s="223" t="n"/>
      <c r="C208" s="160" t="inlineStr">
        <is>
          <t>Settings - 70 Gear</t>
        </is>
      </c>
      <c r="D208" s="160" t="inlineStr">
        <is>
          <t>55 43 49 12 00 10 04 4C 00 46 00 00 00 00 00 00 00 00 00 00 00 B7 53</t>
        </is>
      </c>
      <c r="E208" s="161" t="n"/>
      <c r="F208" s="191" t="n"/>
      <c r="G208" s="192" t="inlineStr">
        <is>
          <t>0x10</t>
        </is>
      </c>
      <c r="H208" s="178" t="inlineStr">
        <is>
          <t>0x04</t>
        </is>
      </c>
      <c r="I208" s="178" t="inlineStr">
        <is>
          <t>0x4C</t>
        </is>
      </c>
      <c r="J208" s="178" t="inlineStr">
        <is>
          <t>0x00</t>
        </is>
      </c>
      <c r="K208" s="130" t="inlineStr">
        <is>
          <t>0x46</t>
        </is>
      </c>
      <c r="L208" s="178" t="inlineStr">
        <is>
          <t>0x00</t>
        </is>
      </c>
      <c r="M208" s="178" t="inlineStr">
        <is>
          <t>0x00</t>
        </is>
      </c>
      <c r="N208" s="178" t="inlineStr">
        <is>
          <t>0x00</t>
        </is>
      </c>
      <c r="O208" s="178" t="inlineStr">
        <is>
          <t>0x00</t>
        </is>
      </c>
      <c r="P208" s="178" t="inlineStr">
        <is>
          <t>0x00</t>
        </is>
      </c>
      <c r="Q208" s="178" t="inlineStr">
        <is>
          <t>0x00</t>
        </is>
      </c>
      <c r="R208" s="178" t="inlineStr">
        <is>
          <t>0x00</t>
        </is>
      </c>
      <c r="S208" s="178" t="inlineStr">
        <is>
          <t>0x00</t>
        </is>
      </c>
      <c r="T208" s="178" t="inlineStr">
        <is>
          <t>0x00</t>
        </is>
      </c>
      <c r="U208" s="178" t="inlineStr">
        <is>
          <t>0x00</t>
        </is>
      </c>
      <c r="V208" s="178" t="inlineStr">
        <is>
          <t>0x00</t>
        </is>
      </c>
      <c r="W208" s="180">
        <f>"0x"&amp;MID(D208,64,2)</f>
        <v/>
      </c>
      <c r="X208" s="180">
        <f>"0x"&amp;MID(D208,67,2)</f>
        <v/>
      </c>
      <c r="Y208" s="182">
        <f>CONCATENATE(RIGHT(G208,2)," ",RIGHT(H208,2)," ",RIGHT(I208,2)," ",RIGHT(J208,2)," ",RIGHT(K208,2)," ",RIGHT(L208,2)," ",RIGHT(M208,2)," ",RIGHT(N208,2)," ",RIGHT(O208,2)," ",RIGHT(P208,2)," ",RIGHT(Q208,2)," ",RIGHT(R208,2)," ",RIGHT(S208,2)," ",RIGHT(T208,2)," ",RIGHT(U208,2)," ",RIGHT(V208,2)," ",RIGHT(W208,2)," ",RIGHT(X208,2))</f>
        <v/>
      </c>
    </row>
    <row r="209">
      <c r="A209" s="222" t="n"/>
      <c r="B209" s="223" t="n"/>
      <c r="C209" s="160" t="inlineStr">
        <is>
          <t>Settings - 80 Gear</t>
        </is>
      </c>
      <c r="D209" s="160" t="inlineStr">
        <is>
          <t>55 43 49 12 00 10 04 4C 00 50 00 00 00 00 00 00 00 00 00 00 00 D9 6F</t>
        </is>
      </c>
      <c r="E209" s="161" t="n"/>
      <c r="F209" s="191" t="n"/>
      <c r="G209" s="192" t="inlineStr">
        <is>
          <t>0x10</t>
        </is>
      </c>
      <c r="H209" s="178" t="inlineStr">
        <is>
          <t>0x04</t>
        </is>
      </c>
      <c r="I209" s="178" t="inlineStr">
        <is>
          <t>0x4C</t>
        </is>
      </c>
      <c r="J209" s="178" t="inlineStr">
        <is>
          <t>0x00</t>
        </is>
      </c>
      <c r="K209" s="130" t="inlineStr">
        <is>
          <t>0x50</t>
        </is>
      </c>
      <c r="L209" s="178" t="inlineStr">
        <is>
          <t>0x00</t>
        </is>
      </c>
      <c r="M209" s="178" t="inlineStr">
        <is>
          <t>0x00</t>
        </is>
      </c>
      <c r="N209" s="178" t="inlineStr">
        <is>
          <t>0x00</t>
        </is>
      </c>
      <c r="O209" s="178" t="inlineStr">
        <is>
          <t>0x00</t>
        </is>
      </c>
      <c r="P209" s="178" t="inlineStr">
        <is>
          <t>0x00</t>
        </is>
      </c>
      <c r="Q209" s="178" t="inlineStr">
        <is>
          <t>0x00</t>
        </is>
      </c>
      <c r="R209" s="178" t="inlineStr">
        <is>
          <t>0x00</t>
        </is>
      </c>
      <c r="S209" s="178" t="inlineStr">
        <is>
          <t>0x00</t>
        </is>
      </c>
      <c r="T209" s="178" t="inlineStr">
        <is>
          <t>0x00</t>
        </is>
      </c>
      <c r="U209" s="178" t="inlineStr">
        <is>
          <t>0x00</t>
        </is>
      </c>
      <c r="V209" s="178" t="inlineStr">
        <is>
          <t>0x00</t>
        </is>
      </c>
      <c r="W209" s="180">
        <f>"0x"&amp;MID(D209,64,2)</f>
        <v/>
      </c>
      <c r="X209" s="180">
        <f>"0x"&amp;MID(D209,67,2)</f>
        <v/>
      </c>
      <c r="Y209" s="182">
        <f>CONCATENATE(RIGHT(G209,2)," ",RIGHT(H209,2)," ",RIGHT(I209,2)," ",RIGHT(J209,2)," ",RIGHT(K209,2)," ",RIGHT(L209,2)," ",RIGHT(M209,2)," ",RIGHT(N209,2)," ",RIGHT(O209,2)," ",RIGHT(P209,2)," ",RIGHT(Q209,2)," ",RIGHT(R209,2)," ",RIGHT(S209,2)," ",RIGHT(T209,2)," ",RIGHT(U209,2)," ",RIGHT(V209,2)," ",RIGHT(W209,2)," ",RIGHT(X209,2))</f>
        <v/>
      </c>
    </row>
    <row r="210">
      <c r="A210" s="222" t="n"/>
      <c r="B210" s="223" t="n"/>
      <c r="C210" s="160" t="inlineStr">
        <is>
          <t>Settings - 90 Gear</t>
        </is>
      </c>
      <c r="D210" s="160" t="inlineStr">
        <is>
          <t>55 43 49 12 00 10 04 4C 00 5A 00 00 00 00 00 00 00 00 00 00 00 9B 72</t>
        </is>
      </c>
      <c r="E210" s="161" t="n"/>
      <c r="F210" s="191" t="n"/>
      <c r="G210" s="192" t="inlineStr">
        <is>
          <t>0x10</t>
        </is>
      </c>
      <c r="H210" s="178" t="inlineStr">
        <is>
          <t>0x04</t>
        </is>
      </c>
      <c r="I210" s="178" t="inlineStr">
        <is>
          <t>0x4C</t>
        </is>
      </c>
      <c r="J210" s="178" t="inlineStr">
        <is>
          <t>0x00</t>
        </is>
      </c>
      <c r="K210" s="130" t="inlineStr">
        <is>
          <t>0x5A</t>
        </is>
      </c>
      <c r="L210" s="178" t="inlineStr">
        <is>
          <t>0x00</t>
        </is>
      </c>
      <c r="M210" s="178" t="inlineStr">
        <is>
          <t>0x00</t>
        </is>
      </c>
      <c r="N210" s="178" t="inlineStr">
        <is>
          <t>0x00</t>
        </is>
      </c>
      <c r="O210" s="178" t="inlineStr">
        <is>
          <t>0x00</t>
        </is>
      </c>
      <c r="P210" s="178" t="inlineStr">
        <is>
          <t>0x00</t>
        </is>
      </c>
      <c r="Q210" s="178" t="inlineStr">
        <is>
          <t>0x00</t>
        </is>
      </c>
      <c r="R210" s="178" t="inlineStr">
        <is>
          <t>0x00</t>
        </is>
      </c>
      <c r="S210" s="178" t="inlineStr">
        <is>
          <t>0x00</t>
        </is>
      </c>
      <c r="T210" s="178" t="inlineStr">
        <is>
          <t>0x00</t>
        </is>
      </c>
      <c r="U210" s="178" t="inlineStr">
        <is>
          <t>0x00</t>
        </is>
      </c>
      <c r="V210" s="178" t="inlineStr">
        <is>
          <t>0x00</t>
        </is>
      </c>
      <c r="W210" s="180">
        <f>"0x"&amp;MID(D210,64,2)</f>
        <v/>
      </c>
      <c r="X210" s="180">
        <f>"0x"&amp;MID(D210,67,2)</f>
        <v/>
      </c>
      <c r="Y210" s="182">
        <f>CONCATENATE(RIGHT(G210,2)," ",RIGHT(H210,2)," ",RIGHT(I210,2)," ",RIGHT(J210,2)," ",RIGHT(K210,2)," ",RIGHT(L210,2)," ",RIGHT(M210,2)," ",RIGHT(N210,2)," ",RIGHT(O210,2)," ",RIGHT(P210,2)," ",RIGHT(Q210,2)," ",RIGHT(R210,2)," ",RIGHT(S210,2)," ",RIGHT(T210,2)," ",RIGHT(U210,2)," ",RIGHT(V210,2)," ",RIGHT(W210,2)," ",RIGHT(X210,2))</f>
        <v/>
      </c>
    </row>
    <row r="211">
      <c r="A211" s="222" t="n"/>
      <c r="B211" s="223" t="n"/>
      <c r="C211" s="160" t="inlineStr">
        <is>
          <t>Settings - 100 Gear</t>
        </is>
      </c>
      <c r="D211" s="160" t="inlineStr">
        <is>
          <t>55 43 49 12 00 10 04 4C 00 64 00 00 00 00 00 00 00 00 00 00 00 FD 3B</t>
        </is>
      </c>
      <c r="E211" s="161" t="n"/>
      <c r="F211" s="191" t="n"/>
      <c r="G211" s="192" t="inlineStr">
        <is>
          <t>0x10</t>
        </is>
      </c>
      <c r="H211" s="178" t="inlineStr">
        <is>
          <t>0x04</t>
        </is>
      </c>
      <c r="I211" s="178" t="inlineStr">
        <is>
          <t>0x4C</t>
        </is>
      </c>
      <c r="J211" s="178" t="inlineStr">
        <is>
          <t>0x00</t>
        </is>
      </c>
      <c r="K211" s="130" t="inlineStr">
        <is>
          <t>0x64</t>
        </is>
      </c>
      <c r="L211" s="178" t="inlineStr">
        <is>
          <t>0x00</t>
        </is>
      </c>
      <c r="M211" s="178" t="inlineStr">
        <is>
          <t>0x00</t>
        </is>
      </c>
      <c r="N211" s="178" t="inlineStr">
        <is>
          <t>0x00</t>
        </is>
      </c>
      <c r="O211" s="178" t="inlineStr">
        <is>
          <t>0x00</t>
        </is>
      </c>
      <c r="P211" s="178" t="inlineStr">
        <is>
          <t>0x00</t>
        </is>
      </c>
      <c r="Q211" s="178" t="inlineStr">
        <is>
          <t>0x00</t>
        </is>
      </c>
      <c r="R211" s="178" t="inlineStr">
        <is>
          <t>0x00</t>
        </is>
      </c>
      <c r="S211" s="178" t="inlineStr">
        <is>
          <t>0x00</t>
        </is>
      </c>
      <c r="T211" s="178" t="inlineStr">
        <is>
          <t>0x00</t>
        </is>
      </c>
      <c r="U211" s="178" t="inlineStr">
        <is>
          <t>0x00</t>
        </is>
      </c>
      <c r="V211" s="178" t="inlineStr">
        <is>
          <t>0x00</t>
        </is>
      </c>
      <c r="W211" s="180">
        <f>"0x"&amp;MID(D211,64,2)</f>
        <v/>
      </c>
      <c r="X211" s="180">
        <f>"0x"&amp;MID(D211,67,2)</f>
        <v/>
      </c>
      <c r="Y211" s="182">
        <f>CONCATENATE(RIGHT(G211,2)," ",RIGHT(H211,2)," ",RIGHT(I211,2)," ",RIGHT(J211,2)," ",RIGHT(K211,2)," ",RIGHT(L211,2)," ",RIGHT(M211,2)," ",RIGHT(N211,2)," ",RIGHT(O211,2)," ",RIGHT(P211,2)," ",RIGHT(Q211,2)," ",RIGHT(R211,2)," ",RIGHT(S211,2)," ",RIGHT(T211,2)," ",RIGHT(U211,2)," ",RIGHT(V211,2)," ",RIGHT(W211,2)," ",RIGHT(X211,2))</f>
        <v/>
      </c>
    </row>
    <row r="212">
      <c r="A212" s="222" t="n"/>
      <c r="B212" s="225" t="n"/>
      <c r="C212" s="160" t="inlineStr">
        <is>
          <t>Get</t>
        </is>
      </c>
      <c r="D212" s="160" t="inlineStr">
        <is>
          <t>55 43 49 12 00 10 04 8C 00 01 00 00 00 00 00 00 00 01 00 00 00 C9 8C</t>
        </is>
      </c>
      <c r="E212" s="161" t="n"/>
      <c r="F212" s="191" t="n"/>
      <c r="G212" s="192" t="inlineStr">
        <is>
          <t>0x10</t>
        </is>
      </c>
      <c r="H212" s="178" t="inlineStr">
        <is>
          <t>0x04</t>
        </is>
      </c>
      <c r="I212" s="178" t="inlineStr">
        <is>
          <t>0x8C</t>
        </is>
      </c>
      <c r="J212" s="178" t="inlineStr">
        <is>
          <t>0x00</t>
        </is>
      </c>
      <c r="K212" s="130" t="inlineStr">
        <is>
          <t>0x01</t>
        </is>
      </c>
      <c r="L212" s="178" t="inlineStr">
        <is>
          <t>0x00</t>
        </is>
      </c>
      <c r="M212" s="178" t="inlineStr">
        <is>
          <t>0x00</t>
        </is>
      </c>
      <c r="N212" s="178" t="inlineStr">
        <is>
          <t>0x00</t>
        </is>
      </c>
      <c r="O212" s="178" t="inlineStr">
        <is>
          <t>0x00</t>
        </is>
      </c>
      <c r="P212" s="178" t="inlineStr">
        <is>
          <t>0x00</t>
        </is>
      </c>
      <c r="Q212" s="178" t="inlineStr">
        <is>
          <t>0x00</t>
        </is>
      </c>
      <c r="R212" s="178" t="inlineStr">
        <is>
          <t>0x00</t>
        </is>
      </c>
      <c r="S212" s="178" t="inlineStr">
        <is>
          <t>0x01</t>
        </is>
      </c>
      <c r="T212" s="178" t="inlineStr">
        <is>
          <t>0x00</t>
        </is>
      </c>
      <c r="U212" s="178" t="inlineStr">
        <is>
          <t>0x00</t>
        </is>
      </c>
      <c r="V212" s="178" t="inlineStr">
        <is>
          <t>0x00</t>
        </is>
      </c>
      <c r="W212" s="180">
        <f>"0x"&amp;MID(D212,64,2)</f>
        <v/>
      </c>
      <c r="X212" s="180">
        <f>"0x"&amp;MID(D212,67,2)</f>
        <v/>
      </c>
      <c r="Y212" s="182">
        <f>CONCATENATE(RIGHT(G212,2)," ",RIGHT(H212,2)," ",RIGHT(I212,2)," ",RIGHT(J212,2)," ",RIGHT(K212,2)," ",RIGHT(L212,2)," ",RIGHT(M212,2)," ",RIGHT(N212,2)," ",RIGHT(O212,2)," ",RIGHT(P212,2)," ",RIGHT(Q212,2)," ",RIGHT(R212,2)," ",RIGHT(S212,2)," ",RIGHT(T212,2)," ",RIGHT(U212,2)," ",RIGHT(V212,2)," ",RIGHT(W212,2)," ",RIGHT(X212,2))</f>
        <v/>
      </c>
    </row>
    <row r="213">
      <c r="A213" s="222" t="n"/>
      <c r="B213" s="160" t="inlineStr">
        <is>
          <t>Gamma Intensity</t>
        </is>
      </c>
      <c r="C213" s="160" t="inlineStr">
        <is>
          <t>Settings - 0 Gear</t>
        </is>
      </c>
      <c r="D213" s="160" t="inlineStr">
        <is>
          <t>55 43 49 12 00 10 04 4D 00 00 00 00 00 00 00 00 00 00 00 00 00 A8 FE</t>
        </is>
      </c>
      <c r="E213" s="161" t="n"/>
      <c r="F213" s="191" t="n"/>
      <c r="G213" s="192" t="inlineStr">
        <is>
          <t>0x10</t>
        </is>
      </c>
      <c r="H213" s="178" t="inlineStr">
        <is>
          <t>0x04</t>
        </is>
      </c>
      <c r="I213" s="200" t="inlineStr">
        <is>
          <t>0x4D</t>
        </is>
      </c>
      <c r="J213" s="178" t="inlineStr">
        <is>
          <t>0x00</t>
        </is>
      </c>
      <c r="K213" s="130" t="inlineStr">
        <is>
          <t>0x00</t>
        </is>
      </c>
      <c r="L213" s="178" t="inlineStr">
        <is>
          <t>0x00</t>
        </is>
      </c>
      <c r="M213" s="178" t="inlineStr">
        <is>
          <t>0x00</t>
        </is>
      </c>
      <c r="N213" s="178" t="inlineStr">
        <is>
          <t>0x00</t>
        </is>
      </c>
      <c r="O213" s="178" t="inlineStr">
        <is>
          <t>0x00</t>
        </is>
      </c>
      <c r="P213" s="178" t="inlineStr">
        <is>
          <t>0x00</t>
        </is>
      </c>
      <c r="Q213" s="178" t="inlineStr">
        <is>
          <t>0x00</t>
        </is>
      </c>
      <c r="R213" s="178" t="inlineStr">
        <is>
          <t>0x00</t>
        </is>
      </c>
      <c r="S213" s="178" t="inlineStr">
        <is>
          <t>0x00</t>
        </is>
      </c>
      <c r="T213" s="178" t="inlineStr">
        <is>
          <t>0x00</t>
        </is>
      </c>
      <c r="U213" s="178" t="inlineStr">
        <is>
          <t>0x00</t>
        </is>
      </c>
      <c r="V213" s="178" t="inlineStr">
        <is>
          <t>0x00</t>
        </is>
      </c>
      <c r="W213" s="180">
        <f>"0x"&amp;MID(D213,64,2)</f>
        <v/>
      </c>
      <c r="X213" s="180">
        <f>"0x"&amp;MID(D213,67,2)</f>
        <v/>
      </c>
      <c r="Y213" s="182">
        <f>CONCATENATE(RIGHT(G213,2)," ",RIGHT(H213,2)," ",RIGHT(I213,2)," ",RIGHT(J213,2)," ",RIGHT(K213,2)," ",RIGHT(L213,2)," ",RIGHT(M213,2)," ",RIGHT(N213,2)," ",RIGHT(O213,2)," ",RIGHT(P213,2)," ",RIGHT(Q213,2)," ",RIGHT(R213,2)," ",RIGHT(S213,2)," ",RIGHT(T213,2)," ",RIGHT(U213,2)," ",RIGHT(V213,2)," ",RIGHT(W213,2)," ",RIGHT(X213,2))</f>
        <v/>
      </c>
    </row>
    <row r="214">
      <c r="A214" s="222" t="n"/>
      <c r="B214" s="223" t="n"/>
      <c r="C214" s="160" t="inlineStr">
        <is>
          <t>Settings - 10 Gear</t>
        </is>
      </c>
      <c r="D214" s="160" t="inlineStr">
        <is>
          <t>55 43 49 12 00 10 04 4D 00 0A 00 00 00 00 00 00 00 00 00 00 00 EA E3</t>
        </is>
      </c>
      <c r="E214" s="161" t="n"/>
      <c r="F214" s="191" t="n"/>
      <c r="G214" s="192" t="inlineStr">
        <is>
          <t>0x10</t>
        </is>
      </c>
      <c r="H214" s="178" t="inlineStr">
        <is>
          <t>0x04</t>
        </is>
      </c>
      <c r="I214" s="200" t="inlineStr">
        <is>
          <t>0x4D</t>
        </is>
      </c>
      <c r="J214" s="178" t="inlineStr">
        <is>
          <t>0x00</t>
        </is>
      </c>
      <c r="K214" s="130" t="inlineStr">
        <is>
          <t>0x0A</t>
        </is>
      </c>
      <c r="L214" s="178" t="inlineStr">
        <is>
          <t>0x00</t>
        </is>
      </c>
      <c r="M214" s="178" t="inlineStr">
        <is>
          <t>0x00</t>
        </is>
      </c>
      <c r="N214" s="178" t="inlineStr">
        <is>
          <t>0x00</t>
        </is>
      </c>
      <c r="O214" s="178" t="inlineStr">
        <is>
          <t>0x00</t>
        </is>
      </c>
      <c r="P214" s="178" t="inlineStr">
        <is>
          <t>0x00</t>
        </is>
      </c>
      <c r="Q214" s="178" t="inlineStr">
        <is>
          <t>0x00</t>
        </is>
      </c>
      <c r="R214" s="178" t="inlineStr">
        <is>
          <t>0x00</t>
        </is>
      </c>
      <c r="S214" s="178" t="inlineStr">
        <is>
          <t>0x00</t>
        </is>
      </c>
      <c r="T214" s="178" t="inlineStr">
        <is>
          <t>0x00</t>
        </is>
      </c>
      <c r="U214" s="178" t="inlineStr">
        <is>
          <t>0x00</t>
        </is>
      </c>
      <c r="V214" s="178" t="inlineStr">
        <is>
          <t>0x00</t>
        </is>
      </c>
      <c r="W214" s="180">
        <f>"0x"&amp;MID(D214,64,2)</f>
        <v/>
      </c>
      <c r="X214" s="180">
        <f>"0x"&amp;MID(D214,67,2)</f>
        <v/>
      </c>
      <c r="Y214" s="182">
        <f>CONCATENATE(RIGHT(G214,2)," ",RIGHT(H214,2)," ",RIGHT(I214,2)," ",RIGHT(J214,2)," ",RIGHT(K214,2)," ",RIGHT(L214,2)," ",RIGHT(M214,2)," ",RIGHT(N214,2)," ",RIGHT(O214,2)," ",RIGHT(P214,2)," ",RIGHT(Q214,2)," ",RIGHT(R214,2)," ",RIGHT(S214,2)," ",RIGHT(T214,2)," ",RIGHT(U214,2)," ",RIGHT(V214,2)," ",RIGHT(W214,2)," ",RIGHT(X214,2))</f>
        <v/>
      </c>
    </row>
    <row r="215">
      <c r="A215" s="222" t="n"/>
      <c r="B215" s="223" t="n"/>
      <c r="C215" s="160" t="inlineStr">
        <is>
          <t>Settings - 20 Gear</t>
        </is>
      </c>
      <c r="D215" s="160" t="inlineStr">
        <is>
          <t>55 43 49 12 00 10 04 4D 00 14 00 00 00 00 00 00 00 00 00 00 00 2C C4</t>
        </is>
      </c>
      <c r="E215" s="161" t="n"/>
      <c r="F215" s="191" t="n"/>
      <c r="G215" s="192" t="inlineStr">
        <is>
          <t>0x10</t>
        </is>
      </c>
      <c r="H215" s="178" t="inlineStr">
        <is>
          <t>0x04</t>
        </is>
      </c>
      <c r="I215" s="200" t="inlineStr">
        <is>
          <t>0x4D</t>
        </is>
      </c>
      <c r="J215" s="178" t="inlineStr">
        <is>
          <t>0x00</t>
        </is>
      </c>
      <c r="K215" s="130" t="inlineStr">
        <is>
          <t>0x14</t>
        </is>
      </c>
      <c r="L215" s="178" t="inlineStr">
        <is>
          <t>0x00</t>
        </is>
      </c>
      <c r="M215" s="178" t="inlineStr">
        <is>
          <t>0x00</t>
        </is>
      </c>
      <c r="N215" s="178" t="inlineStr">
        <is>
          <t>0x00</t>
        </is>
      </c>
      <c r="O215" s="178" t="inlineStr">
        <is>
          <t>0x00</t>
        </is>
      </c>
      <c r="P215" s="178" t="inlineStr">
        <is>
          <t>0x00</t>
        </is>
      </c>
      <c r="Q215" s="178" t="inlineStr">
        <is>
          <t>0x00</t>
        </is>
      </c>
      <c r="R215" s="178" t="inlineStr">
        <is>
          <t>0x00</t>
        </is>
      </c>
      <c r="S215" s="178" t="inlineStr">
        <is>
          <t>0x00</t>
        </is>
      </c>
      <c r="T215" s="178" t="inlineStr">
        <is>
          <t>0x00</t>
        </is>
      </c>
      <c r="U215" s="178" t="inlineStr">
        <is>
          <t>0x00</t>
        </is>
      </c>
      <c r="V215" s="178" t="inlineStr">
        <is>
          <t>0x00</t>
        </is>
      </c>
      <c r="W215" s="180">
        <f>"0x"&amp;MID(D215,64,2)</f>
        <v/>
      </c>
      <c r="X215" s="180">
        <f>"0x"&amp;MID(D215,67,2)</f>
        <v/>
      </c>
      <c r="Y215" s="182">
        <f>CONCATENATE(RIGHT(G215,2)," ",RIGHT(H215,2)," ",RIGHT(I215,2)," ",RIGHT(J215,2)," ",RIGHT(K215,2)," ",RIGHT(L215,2)," ",RIGHT(M215,2)," ",RIGHT(N215,2)," ",RIGHT(O215,2)," ",RIGHT(P215,2)," ",RIGHT(Q215,2)," ",RIGHT(R215,2)," ",RIGHT(S215,2)," ",RIGHT(T215,2)," ",RIGHT(U215,2)," ",RIGHT(V215,2)," ",RIGHT(W215,2)," ",RIGHT(X215,2))</f>
        <v/>
      </c>
    </row>
    <row r="216">
      <c r="A216" s="222" t="n"/>
      <c r="B216" s="223" t="n"/>
      <c r="C216" s="160" t="inlineStr">
        <is>
          <t>Settings - 30 Gear</t>
        </is>
      </c>
      <c r="D216" s="160" t="inlineStr">
        <is>
          <t>55 43 49 12 00 10 04 4D 00 1E 00 00 00 00 00 00 00 00 00 00 00 6E D9</t>
        </is>
      </c>
      <c r="E216" s="161" t="n"/>
      <c r="F216" s="191" t="n"/>
      <c r="G216" s="192" t="inlineStr">
        <is>
          <t>0x10</t>
        </is>
      </c>
      <c r="H216" s="178" t="inlineStr">
        <is>
          <t>0x04</t>
        </is>
      </c>
      <c r="I216" s="200" t="inlineStr">
        <is>
          <t>0x4D</t>
        </is>
      </c>
      <c r="J216" s="178" t="inlineStr">
        <is>
          <t>0x00</t>
        </is>
      </c>
      <c r="K216" s="130" t="inlineStr">
        <is>
          <t>0x1E</t>
        </is>
      </c>
      <c r="L216" s="178" t="inlineStr">
        <is>
          <t>0x00</t>
        </is>
      </c>
      <c r="M216" s="178" t="inlineStr">
        <is>
          <t>0x00</t>
        </is>
      </c>
      <c r="N216" s="178" t="inlineStr">
        <is>
          <t>0x00</t>
        </is>
      </c>
      <c r="O216" s="178" t="inlineStr">
        <is>
          <t>0x00</t>
        </is>
      </c>
      <c r="P216" s="178" t="inlineStr">
        <is>
          <t>0x00</t>
        </is>
      </c>
      <c r="Q216" s="178" t="inlineStr">
        <is>
          <t>0x00</t>
        </is>
      </c>
      <c r="R216" s="178" t="inlineStr">
        <is>
          <t>0x00</t>
        </is>
      </c>
      <c r="S216" s="178" t="inlineStr">
        <is>
          <t>0x00</t>
        </is>
      </c>
      <c r="T216" s="178" t="inlineStr">
        <is>
          <t>0x00</t>
        </is>
      </c>
      <c r="U216" s="178" t="inlineStr">
        <is>
          <t>0x00</t>
        </is>
      </c>
      <c r="V216" s="178" t="inlineStr">
        <is>
          <t>0x00</t>
        </is>
      </c>
      <c r="W216" s="180">
        <f>"0x"&amp;MID(D216,64,2)</f>
        <v/>
      </c>
      <c r="X216" s="180">
        <f>"0x"&amp;MID(D216,67,2)</f>
        <v/>
      </c>
      <c r="Y216" s="182">
        <f>CONCATENATE(RIGHT(G216,2)," ",RIGHT(H216,2)," ",RIGHT(I216,2)," ",RIGHT(J216,2)," ",RIGHT(K216,2)," ",RIGHT(L216,2)," ",RIGHT(M216,2)," ",RIGHT(N216,2)," ",RIGHT(O216,2)," ",RIGHT(P216,2)," ",RIGHT(Q216,2)," ",RIGHT(R216,2)," ",RIGHT(S216,2)," ",RIGHT(T216,2)," ",RIGHT(U216,2)," ",RIGHT(V216,2)," ",RIGHT(W216,2)," ",RIGHT(X216,2))</f>
        <v/>
      </c>
    </row>
    <row r="217">
      <c r="A217" s="222" t="n"/>
      <c r="B217" s="223" t="n"/>
      <c r="C217" s="160" t="inlineStr">
        <is>
          <t>Settings - 40 Gear</t>
        </is>
      </c>
      <c r="D217" s="160" t="inlineStr">
        <is>
          <t>55 43 49 12 00 10 04 4D 00 28 00 00 00 00 00 00 00 00 00 00 00 A0 8B</t>
        </is>
      </c>
      <c r="E217" s="161" t="n"/>
      <c r="F217" s="191" t="n"/>
      <c r="G217" s="192" t="inlineStr">
        <is>
          <t>0x10</t>
        </is>
      </c>
      <c r="H217" s="178" t="inlineStr">
        <is>
          <t>0x04</t>
        </is>
      </c>
      <c r="I217" s="200" t="inlineStr">
        <is>
          <t>0x4D</t>
        </is>
      </c>
      <c r="J217" s="178" t="inlineStr">
        <is>
          <t>0x00</t>
        </is>
      </c>
      <c r="K217" s="130" t="inlineStr">
        <is>
          <t>0x28</t>
        </is>
      </c>
      <c r="L217" s="178" t="inlineStr">
        <is>
          <t>0x00</t>
        </is>
      </c>
      <c r="M217" s="178" t="inlineStr">
        <is>
          <t>0x00</t>
        </is>
      </c>
      <c r="N217" s="178" t="inlineStr">
        <is>
          <t>0x00</t>
        </is>
      </c>
      <c r="O217" s="178" t="inlineStr">
        <is>
          <t>0x00</t>
        </is>
      </c>
      <c r="P217" s="178" t="inlineStr">
        <is>
          <t>0x00</t>
        </is>
      </c>
      <c r="Q217" s="178" t="inlineStr">
        <is>
          <t>0x00</t>
        </is>
      </c>
      <c r="R217" s="178" t="inlineStr">
        <is>
          <t>0x00</t>
        </is>
      </c>
      <c r="S217" s="178" t="inlineStr">
        <is>
          <t>0x00</t>
        </is>
      </c>
      <c r="T217" s="178" t="inlineStr">
        <is>
          <t>0x00</t>
        </is>
      </c>
      <c r="U217" s="178" t="inlineStr">
        <is>
          <t>0x00</t>
        </is>
      </c>
      <c r="V217" s="178" t="inlineStr">
        <is>
          <t>0x00</t>
        </is>
      </c>
      <c r="W217" s="180">
        <f>"0x"&amp;MID(D217,64,2)</f>
        <v/>
      </c>
      <c r="X217" s="180">
        <f>"0x"&amp;MID(D217,67,2)</f>
        <v/>
      </c>
      <c r="Y217" s="182">
        <f>CONCATENATE(RIGHT(G217,2)," ",RIGHT(H217,2)," ",RIGHT(I217,2)," ",RIGHT(J217,2)," ",RIGHT(K217,2)," ",RIGHT(L217,2)," ",RIGHT(M217,2)," ",RIGHT(N217,2)," ",RIGHT(O217,2)," ",RIGHT(P217,2)," ",RIGHT(Q217,2)," ",RIGHT(R217,2)," ",RIGHT(S217,2)," ",RIGHT(T217,2)," ",RIGHT(U217,2)," ",RIGHT(V217,2)," ",RIGHT(W217,2)," ",RIGHT(X217,2))</f>
        <v/>
      </c>
    </row>
    <row r="218">
      <c r="A218" s="222" t="n"/>
      <c r="B218" s="223" t="n"/>
      <c r="C218" s="160" t="inlineStr">
        <is>
          <t>Settings - 50 Gear</t>
        </is>
      </c>
      <c r="D218" s="160" t="inlineStr">
        <is>
          <t>55 43 49 12 00 10 04 4D 00 32 00 00 00 00 00 00 00 00 00 00 00 B2 A1</t>
        </is>
      </c>
      <c r="E218" s="161" t="n"/>
      <c r="F218" s="191" t="n"/>
      <c r="G218" s="192" t="inlineStr">
        <is>
          <t>0x10</t>
        </is>
      </c>
      <c r="H218" s="178" t="inlineStr">
        <is>
          <t>0x04</t>
        </is>
      </c>
      <c r="I218" s="200" t="inlineStr">
        <is>
          <t>0x4D</t>
        </is>
      </c>
      <c r="J218" s="178" t="inlineStr">
        <is>
          <t>0x00</t>
        </is>
      </c>
      <c r="K218" s="130" t="inlineStr">
        <is>
          <t>0x32</t>
        </is>
      </c>
      <c r="L218" s="178" t="inlineStr">
        <is>
          <t>0x00</t>
        </is>
      </c>
      <c r="M218" s="178" t="inlineStr">
        <is>
          <t>0x00</t>
        </is>
      </c>
      <c r="N218" s="178" t="inlineStr">
        <is>
          <t>0x00</t>
        </is>
      </c>
      <c r="O218" s="178" t="inlineStr">
        <is>
          <t>0x00</t>
        </is>
      </c>
      <c r="P218" s="178" t="inlineStr">
        <is>
          <t>0x00</t>
        </is>
      </c>
      <c r="Q218" s="178" t="inlineStr">
        <is>
          <t>0x00</t>
        </is>
      </c>
      <c r="R218" s="178" t="inlineStr">
        <is>
          <t>0x00</t>
        </is>
      </c>
      <c r="S218" s="178" t="inlineStr">
        <is>
          <t>0x00</t>
        </is>
      </c>
      <c r="T218" s="178" t="inlineStr">
        <is>
          <t>0x00</t>
        </is>
      </c>
      <c r="U218" s="178" t="inlineStr">
        <is>
          <t>0x00</t>
        </is>
      </c>
      <c r="V218" s="178" t="inlineStr">
        <is>
          <t>0x00</t>
        </is>
      </c>
      <c r="W218" s="180">
        <f>"0x"&amp;MID(D218,64,2)</f>
        <v/>
      </c>
      <c r="X218" s="180">
        <f>"0x"&amp;MID(D218,67,2)</f>
        <v/>
      </c>
      <c r="Y218" s="182">
        <f>CONCATENATE(RIGHT(G218,2)," ",RIGHT(H218,2)," ",RIGHT(I218,2)," ",RIGHT(J218,2)," ",RIGHT(K218,2)," ",RIGHT(L218,2)," ",RIGHT(M218,2)," ",RIGHT(N218,2)," ",RIGHT(O218,2)," ",RIGHT(P218,2)," ",RIGHT(Q218,2)," ",RIGHT(R218,2)," ",RIGHT(S218,2)," ",RIGHT(T218,2)," ",RIGHT(U218,2)," ",RIGHT(V218,2)," ",RIGHT(W218,2)," ",RIGHT(X218,2))</f>
        <v/>
      </c>
    </row>
    <row r="219">
      <c r="A219" s="222" t="n"/>
      <c r="B219" s="223" t="n"/>
      <c r="C219" s="160" t="inlineStr">
        <is>
          <t>Settings - 60 Gear</t>
        </is>
      </c>
      <c r="D219" s="160" t="inlineStr">
        <is>
          <t>55 43 49 12 00 10 04 4D 00 3C 00 00 00 00 00 00 00 00 00 00 00 24 B1</t>
        </is>
      </c>
      <c r="E219" s="161" t="n"/>
      <c r="F219" s="191" t="n"/>
      <c r="G219" s="192" t="inlineStr">
        <is>
          <t>0x10</t>
        </is>
      </c>
      <c r="H219" s="178" t="inlineStr">
        <is>
          <t>0x04</t>
        </is>
      </c>
      <c r="I219" s="200" t="inlineStr">
        <is>
          <t>0x4D</t>
        </is>
      </c>
      <c r="J219" s="178" t="inlineStr">
        <is>
          <t>0x00</t>
        </is>
      </c>
      <c r="K219" s="130" t="inlineStr">
        <is>
          <t>0x3C</t>
        </is>
      </c>
      <c r="L219" s="178" t="inlineStr">
        <is>
          <t>0x00</t>
        </is>
      </c>
      <c r="M219" s="178" t="inlineStr">
        <is>
          <t>0x00</t>
        </is>
      </c>
      <c r="N219" s="178" t="inlineStr">
        <is>
          <t>0x00</t>
        </is>
      </c>
      <c r="O219" s="178" t="inlineStr">
        <is>
          <t>0x00</t>
        </is>
      </c>
      <c r="P219" s="178" t="inlineStr">
        <is>
          <t>0x00</t>
        </is>
      </c>
      <c r="Q219" s="178" t="inlineStr">
        <is>
          <t>0x00</t>
        </is>
      </c>
      <c r="R219" s="178" t="inlineStr">
        <is>
          <t>0x00</t>
        </is>
      </c>
      <c r="S219" s="178" t="inlineStr">
        <is>
          <t>0x00</t>
        </is>
      </c>
      <c r="T219" s="178" t="inlineStr">
        <is>
          <t>0x00</t>
        </is>
      </c>
      <c r="U219" s="178" t="inlineStr">
        <is>
          <t>0x00</t>
        </is>
      </c>
      <c r="V219" s="178" t="inlineStr">
        <is>
          <t>0x00</t>
        </is>
      </c>
      <c r="W219" s="180">
        <f>"0x"&amp;MID(D219,64,2)</f>
        <v/>
      </c>
      <c r="X219" s="180">
        <f>"0x"&amp;MID(D219,67,2)</f>
        <v/>
      </c>
      <c r="Y219" s="182">
        <f>CONCATENATE(RIGHT(G219,2)," ",RIGHT(H219,2)," ",RIGHT(I219,2)," ",RIGHT(J219,2)," ",RIGHT(K219,2)," ",RIGHT(L219,2)," ",RIGHT(M219,2)," ",RIGHT(N219,2)," ",RIGHT(O219,2)," ",RIGHT(P219,2)," ",RIGHT(Q219,2)," ",RIGHT(R219,2)," ",RIGHT(S219,2)," ",RIGHT(T219,2)," ",RIGHT(U219,2)," ",RIGHT(V219,2)," ",RIGHT(W219,2)," ",RIGHT(X219,2))</f>
        <v/>
      </c>
    </row>
    <row r="220">
      <c r="A220" s="222" t="n"/>
      <c r="B220" s="223" t="n"/>
      <c r="C220" s="160" t="inlineStr">
        <is>
          <t>Settings - 70 Gear</t>
        </is>
      </c>
      <c r="D220" s="160" t="inlineStr">
        <is>
          <t>55 43 49 12 00 10 04 4D 00 46 00 00 00 00 00 00 00 00 00 00 00 D6 28</t>
        </is>
      </c>
      <c r="E220" s="161" t="n"/>
      <c r="F220" s="191" t="n"/>
      <c r="G220" s="192" t="inlineStr">
        <is>
          <t>0x10</t>
        </is>
      </c>
      <c r="H220" s="178" t="inlineStr">
        <is>
          <t>0x04</t>
        </is>
      </c>
      <c r="I220" s="200" t="inlineStr">
        <is>
          <t>0x4D</t>
        </is>
      </c>
      <c r="J220" s="178" t="inlineStr">
        <is>
          <t>0x00</t>
        </is>
      </c>
      <c r="K220" s="130" t="inlineStr">
        <is>
          <t>0x46</t>
        </is>
      </c>
      <c r="L220" s="178" t="inlineStr">
        <is>
          <t>0x00</t>
        </is>
      </c>
      <c r="M220" s="178" t="inlineStr">
        <is>
          <t>0x00</t>
        </is>
      </c>
      <c r="N220" s="178" t="inlineStr">
        <is>
          <t>0x00</t>
        </is>
      </c>
      <c r="O220" s="178" t="inlineStr">
        <is>
          <t>0x00</t>
        </is>
      </c>
      <c r="P220" s="178" t="inlineStr">
        <is>
          <t>0x00</t>
        </is>
      </c>
      <c r="Q220" s="178" t="inlineStr">
        <is>
          <t>0x00</t>
        </is>
      </c>
      <c r="R220" s="178" t="inlineStr">
        <is>
          <t>0x00</t>
        </is>
      </c>
      <c r="S220" s="178" t="inlineStr">
        <is>
          <t>0x00</t>
        </is>
      </c>
      <c r="T220" s="178" t="inlineStr">
        <is>
          <t>0x00</t>
        </is>
      </c>
      <c r="U220" s="178" t="inlineStr">
        <is>
          <t>0x00</t>
        </is>
      </c>
      <c r="V220" s="178" t="inlineStr">
        <is>
          <t>0x00</t>
        </is>
      </c>
      <c r="W220" s="180">
        <f>"0x"&amp;MID(D220,64,2)</f>
        <v/>
      </c>
      <c r="X220" s="180">
        <f>"0x"&amp;MID(D220,67,2)</f>
        <v/>
      </c>
      <c r="Y220" s="182">
        <f>CONCATENATE(RIGHT(G220,2)," ",RIGHT(H220,2)," ",RIGHT(I220,2)," ",RIGHT(J220,2)," ",RIGHT(K220,2)," ",RIGHT(L220,2)," ",RIGHT(M220,2)," ",RIGHT(N220,2)," ",RIGHT(O220,2)," ",RIGHT(P220,2)," ",RIGHT(Q220,2)," ",RIGHT(R220,2)," ",RIGHT(S220,2)," ",RIGHT(T220,2)," ",RIGHT(U220,2)," ",RIGHT(V220,2)," ",RIGHT(W220,2)," ",RIGHT(X220,2))</f>
        <v/>
      </c>
    </row>
    <row r="221">
      <c r="A221" s="222" t="n"/>
      <c r="B221" s="223" t="n"/>
      <c r="C221" s="160" t="inlineStr">
        <is>
          <t>Settings - 80 Gear</t>
        </is>
      </c>
      <c r="D221" s="160" t="inlineStr">
        <is>
          <t>55 43 49 12 00 10 04 4D 00 50 00 00 00 00 00 00 00 00 00 00 00 B8 14</t>
        </is>
      </c>
      <c r="E221" s="161" t="n"/>
      <c r="F221" s="191" t="n"/>
      <c r="G221" s="192" t="inlineStr">
        <is>
          <t>0x10</t>
        </is>
      </c>
      <c r="H221" s="178" t="inlineStr">
        <is>
          <t>0x04</t>
        </is>
      </c>
      <c r="I221" s="200" t="inlineStr">
        <is>
          <t>0x4D</t>
        </is>
      </c>
      <c r="J221" s="178" t="inlineStr">
        <is>
          <t>0x00</t>
        </is>
      </c>
      <c r="K221" s="130" t="inlineStr">
        <is>
          <t>0x50</t>
        </is>
      </c>
      <c r="L221" s="178" t="inlineStr">
        <is>
          <t>0x00</t>
        </is>
      </c>
      <c r="M221" s="178" t="inlineStr">
        <is>
          <t>0x00</t>
        </is>
      </c>
      <c r="N221" s="178" t="inlineStr">
        <is>
          <t>0x00</t>
        </is>
      </c>
      <c r="O221" s="178" t="inlineStr">
        <is>
          <t>0x00</t>
        </is>
      </c>
      <c r="P221" s="178" t="inlineStr">
        <is>
          <t>0x00</t>
        </is>
      </c>
      <c r="Q221" s="178" t="inlineStr">
        <is>
          <t>0x00</t>
        </is>
      </c>
      <c r="R221" s="178" t="inlineStr">
        <is>
          <t>0x00</t>
        </is>
      </c>
      <c r="S221" s="178" t="inlineStr">
        <is>
          <t>0x00</t>
        </is>
      </c>
      <c r="T221" s="178" t="inlineStr">
        <is>
          <t>0x00</t>
        </is>
      </c>
      <c r="U221" s="178" t="inlineStr">
        <is>
          <t>0x00</t>
        </is>
      </c>
      <c r="V221" s="178" t="inlineStr">
        <is>
          <t>0x00</t>
        </is>
      </c>
      <c r="W221" s="180">
        <f>"0x"&amp;MID(D221,64,2)</f>
        <v/>
      </c>
      <c r="X221" s="180">
        <f>"0x"&amp;MID(D221,67,2)</f>
        <v/>
      </c>
      <c r="Y221" s="182">
        <f>CONCATENATE(RIGHT(G221,2)," ",RIGHT(H221,2)," ",RIGHT(I221,2)," ",RIGHT(J221,2)," ",RIGHT(K221,2)," ",RIGHT(L221,2)," ",RIGHT(M221,2)," ",RIGHT(N221,2)," ",RIGHT(O221,2)," ",RIGHT(P221,2)," ",RIGHT(Q221,2)," ",RIGHT(R221,2)," ",RIGHT(S221,2)," ",RIGHT(T221,2)," ",RIGHT(U221,2)," ",RIGHT(V221,2)," ",RIGHT(W221,2)," ",RIGHT(X221,2))</f>
        <v/>
      </c>
    </row>
    <row r="222">
      <c r="A222" s="222" t="n"/>
      <c r="B222" s="223" t="n"/>
      <c r="C222" s="160" t="inlineStr">
        <is>
          <t>Settings - 90 Gear</t>
        </is>
      </c>
      <c r="D222" s="160" t="inlineStr">
        <is>
          <t>55 43 49 12 00 10 04 4D 00 5A 00 00 00 00 00 00 00 00 00 00 00 FA 09</t>
        </is>
      </c>
      <c r="E222" s="161" t="n"/>
      <c r="F222" s="191" t="n"/>
      <c r="G222" s="192" t="inlineStr">
        <is>
          <t>0x10</t>
        </is>
      </c>
      <c r="H222" s="178" t="inlineStr">
        <is>
          <t>0x04</t>
        </is>
      </c>
      <c r="I222" s="200" t="inlineStr">
        <is>
          <t>0x4D</t>
        </is>
      </c>
      <c r="J222" s="178" t="inlineStr">
        <is>
          <t>0x00</t>
        </is>
      </c>
      <c r="K222" s="130" t="inlineStr">
        <is>
          <t>0x5A</t>
        </is>
      </c>
      <c r="L222" s="178" t="inlineStr">
        <is>
          <t>0x00</t>
        </is>
      </c>
      <c r="M222" s="178" t="inlineStr">
        <is>
          <t>0x00</t>
        </is>
      </c>
      <c r="N222" s="178" t="inlineStr">
        <is>
          <t>0x00</t>
        </is>
      </c>
      <c r="O222" s="178" t="inlineStr">
        <is>
          <t>0x00</t>
        </is>
      </c>
      <c r="P222" s="178" t="inlineStr">
        <is>
          <t>0x00</t>
        </is>
      </c>
      <c r="Q222" s="178" t="inlineStr">
        <is>
          <t>0x00</t>
        </is>
      </c>
      <c r="R222" s="178" t="inlineStr">
        <is>
          <t>0x00</t>
        </is>
      </c>
      <c r="S222" s="178" t="inlineStr">
        <is>
          <t>0x00</t>
        </is>
      </c>
      <c r="T222" s="178" t="inlineStr">
        <is>
          <t>0x00</t>
        </is>
      </c>
      <c r="U222" s="178" t="inlineStr">
        <is>
          <t>0x00</t>
        </is>
      </c>
      <c r="V222" s="178" t="inlineStr">
        <is>
          <t>0x00</t>
        </is>
      </c>
      <c r="W222" s="180">
        <f>"0x"&amp;MID(D222,64,2)</f>
        <v/>
      </c>
      <c r="X222" s="180">
        <f>"0x"&amp;MID(D222,67,2)</f>
        <v/>
      </c>
      <c r="Y222" s="182">
        <f>CONCATENATE(RIGHT(G222,2)," ",RIGHT(H222,2)," ",RIGHT(I222,2)," ",RIGHT(J222,2)," ",RIGHT(K222,2)," ",RIGHT(L222,2)," ",RIGHT(M222,2)," ",RIGHT(N222,2)," ",RIGHT(O222,2)," ",RIGHT(P222,2)," ",RIGHT(Q222,2)," ",RIGHT(R222,2)," ",RIGHT(S222,2)," ",RIGHT(T222,2)," ",RIGHT(U222,2)," ",RIGHT(V222,2)," ",RIGHT(W222,2)," ",RIGHT(X222,2))</f>
        <v/>
      </c>
    </row>
    <row r="223">
      <c r="A223" s="222" t="n"/>
      <c r="B223" s="223" t="n"/>
      <c r="C223" s="160" t="inlineStr">
        <is>
          <t>Settings - 100 Gear</t>
        </is>
      </c>
      <c r="D223" s="160" t="inlineStr">
        <is>
          <t>55 43 49 12 00 10 04 4D 00 64 00 00 00 00 00 00 00 00 00 00 00 9C 40</t>
        </is>
      </c>
      <c r="E223" s="161" t="n"/>
      <c r="F223" s="191" t="n"/>
      <c r="G223" s="192" t="inlineStr">
        <is>
          <t>0x10</t>
        </is>
      </c>
      <c r="H223" s="178" t="inlineStr">
        <is>
          <t>0x04</t>
        </is>
      </c>
      <c r="I223" s="200" t="inlineStr">
        <is>
          <t>0x4D</t>
        </is>
      </c>
      <c r="J223" s="178" t="inlineStr">
        <is>
          <t>0x00</t>
        </is>
      </c>
      <c r="K223" s="130" t="inlineStr">
        <is>
          <t>0x64</t>
        </is>
      </c>
      <c r="L223" s="178" t="inlineStr">
        <is>
          <t>0x00</t>
        </is>
      </c>
      <c r="M223" s="178" t="inlineStr">
        <is>
          <t>0x00</t>
        </is>
      </c>
      <c r="N223" s="178" t="inlineStr">
        <is>
          <t>0x00</t>
        </is>
      </c>
      <c r="O223" s="178" t="inlineStr">
        <is>
          <t>0x00</t>
        </is>
      </c>
      <c r="P223" s="178" t="inlineStr">
        <is>
          <t>0x00</t>
        </is>
      </c>
      <c r="Q223" s="178" t="inlineStr">
        <is>
          <t>0x00</t>
        </is>
      </c>
      <c r="R223" s="178" t="inlineStr">
        <is>
          <t>0x00</t>
        </is>
      </c>
      <c r="S223" s="178" t="inlineStr">
        <is>
          <t>0x00</t>
        </is>
      </c>
      <c r="T223" s="178" t="inlineStr">
        <is>
          <t>0x00</t>
        </is>
      </c>
      <c r="U223" s="178" t="inlineStr">
        <is>
          <t>0x00</t>
        </is>
      </c>
      <c r="V223" s="178" t="inlineStr">
        <is>
          <t>0x00</t>
        </is>
      </c>
      <c r="W223" s="180">
        <f>"0x"&amp;MID(D223,64,2)</f>
        <v/>
      </c>
      <c r="X223" s="180">
        <f>"0x"&amp;MID(D223,67,2)</f>
        <v/>
      </c>
      <c r="Y223" s="182">
        <f>CONCATENATE(RIGHT(G223,2)," ",RIGHT(H223,2)," ",RIGHT(I223,2)," ",RIGHT(J223,2)," ",RIGHT(K223,2)," ",RIGHT(L223,2)," ",RIGHT(M223,2)," ",RIGHT(N223,2)," ",RIGHT(O223,2)," ",RIGHT(P223,2)," ",RIGHT(Q223,2)," ",RIGHT(R223,2)," ",RIGHT(S223,2)," ",RIGHT(T223,2)," ",RIGHT(U223,2)," ",RIGHT(V223,2)," ",RIGHT(W223,2)," ",RIGHT(X223,2))</f>
        <v/>
      </c>
    </row>
    <row r="224">
      <c r="A224" s="227" t="n"/>
      <c r="B224" s="225" t="n"/>
      <c r="C224" s="158" t="inlineStr">
        <is>
          <t>Get</t>
        </is>
      </c>
      <c r="D224" s="158" t="inlineStr">
        <is>
          <t>55 43 49 12 00 10 04 8D 00 01 00 00 00 00 00 00 00 01 00 00 00 A8 F7</t>
        </is>
      </c>
      <c r="E224" s="193" t="n"/>
      <c r="F224" s="191" t="n"/>
      <c r="G224" s="192" t="inlineStr">
        <is>
          <t>0x10</t>
        </is>
      </c>
      <c r="H224" s="178" t="inlineStr">
        <is>
          <t>0x04</t>
        </is>
      </c>
      <c r="I224" s="200" t="inlineStr">
        <is>
          <t>0x8D</t>
        </is>
      </c>
      <c r="J224" s="178" t="inlineStr">
        <is>
          <t>0x00</t>
        </is>
      </c>
      <c r="K224" s="130" t="inlineStr">
        <is>
          <t>0x01</t>
        </is>
      </c>
      <c r="L224" s="178" t="inlineStr">
        <is>
          <t>0x00</t>
        </is>
      </c>
      <c r="M224" s="178" t="inlineStr">
        <is>
          <t>0x00</t>
        </is>
      </c>
      <c r="N224" s="178" t="inlineStr">
        <is>
          <t>0x00</t>
        </is>
      </c>
      <c r="O224" s="178" t="inlineStr">
        <is>
          <t>0x00</t>
        </is>
      </c>
      <c r="P224" s="178" t="inlineStr">
        <is>
          <t>0x00</t>
        </is>
      </c>
      <c r="Q224" s="178" t="inlineStr">
        <is>
          <t>0x00</t>
        </is>
      </c>
      <c r="R224" s="178" t="inlineStr">
        <is>
          <t>0x00</t>
        </is>
      </c>
      <c r="S224" s="178" t="inlineStr">
        <is>
          <t>0x01</t>
        </is>
      </c>
      <c r="T224" s="178" t="inlineStr">
        <is>
          <t>0x00</t>
        </is>
      </c>
      <c r="U224" s="178" t="inlineStr">
        <is>
          <t>0x00</t>
        </is>
      </c>
      <c r="V224" s="178" t="inlineStr">
        <is>
          <t>0x00</t>
        </is>
      </c>
      <c r="W224" s="180">
        <f>"0x"&amp;MID(D224,64,2)</f>
        <v/>
      </c>
      <c r="X224" s="180">
        <f>"0x"&amp;MID(D224,67,2)</f>
        <v/>
      </c>
      <c r="Y224" s="182">
        <f>CONCATENATE(RIGHT(G224,2)," ",RIGHT(H224,2)," ",RIGHT(I224,2)," ",RIGHT(J224,2)," ",RIGHT(K224,2)," ",RIGHT(L224,2)," ",RIGHT(M224,2)," ",RIGHT(N224,2)," ",RIGHT(O224,2)," ",RIGHT(P224,2)," ",RIGHT(Q224,2)," ",RIGHT(R224,2)," ",RIGHT(S224,2)," ",RIGHT(T224,2)," ",RIGHT(U224,2)," ",RIGHT(V224,2)," ",RIGHT(W224,2)," ",RIGHT(X224,2))</f>
        <v/>
      </c>
    </row>
    <row r="225">
      <c r="A225" s="202" t="n"/>
      <c r="B225" s="160" t="inlineStr">
        <is>
          <t>Edge Enhancement Gear</t>
        </is>
      </c>
      <c r="C225" s="160" t="inlineStr">
        <is>
          <t>Settings - 0 Gear</t>
        </is>
      </c>
      <c r="D225" s="160" t="inlineStr">
        <is>
          <t>55 43 49 12 00 10 04 4e 00 00 00 00 00 00 00 00 00 00 00 00 00 0b 73</t>
        </is>
      </c>
      <c r="E225" s="161" t="n"/>
      <c r="F225" s="191" t="n"/>
      <c r="G225" s="192" t="inlineStr">
        <is>
          <t>0x10</t>
        </is>
      </c>
      <c r="H225" s="178" t="inlineStr">
        <is>
          <t>0x04</t>
        </is>
      </c>
      <c r="I225" s="200" t="inlineStr">
        <is>
          <t>0x4E</t>
        </is>
      </c>
      <c r="J225" s="178" t="inlineStr">
        <is>
          <t>0x00</t>
        </is>
      </c>
      <c r="K225" s="130" t="inlineStr">
        <is>
          <t>0x00</t>
        </is>
      </c>
      <c r="L225" s="178" t="inlineStr">
        <is>
          <t>0x00</t>
        </is>
      </c>
      <c r="M225" s="178" t="inlineStr">
        <is>
          <t>0x00</t>
        </is>
      </c>
      <c r="N225" s="178" t="inlineStr">
        <is>
          <t>0x00</t>
        </is>
      </c>
      <c r="O225" s="178" t="inlineStr">
        <is>
          <t>0x00</t>
        </is>
      </c>
      <c r="P225" s="178" t="inlineStr">
        <is>
          <t>0x00</t>
        </is>
      </c>
      <c r="Q225" s="178" t="inlineStr">
        <is>
          <t>0x00</t>
        </is>
      </c>
      <c r="R225" s="178" t="inlineStr">
        <is>
          <t>0x00</t>
        </is>
      </c>
      <c r="S225" s="178" t="inlineStr">
        <is>
          <t>0x00</t>
        </is>
      </c>
      <c r="T225" s="178" t="inlineStr">
        <is>
          <t>0x00</t>
        </is>
      </c>
      <c r="U225" s="178" t="inlineStr">
        <is>
          <t>0x00</t>
        </is>
      </c>
      <c r="V225" s="178" t="inlineStr">
        <is>
          <t>0x00</t>
        </is>
      </c>
      <c r="W225" s="180">
        <f>"0x"&amp;MID(D225,64,2)</f>
        <v/>
      </c>
      <c r="X225" s="180">
        <f>"0x"&amp;MID(D225,67,2)</f>
        <v/>
      </c>
      <c r="Y225" s="182">
        <f>CONCATENATE(RIGHT(G225,2)," ",RIGHT(H225,2)," ",RIGHT(I225,2)," ",RIGHT(J225,2)," ",RIGHT(K225,2)," ",RIGHT(L225,2)," ",RIGHT(M225,2)," ",RIGHT(N225,2)," ",RIGHT(O225,2)," ",RIGHT(P225,2)," ",RIGHT(Q225,2)," ",RIGHT(R225,2)," ",RIGHT(S225,2)," ",RIGHT(T225,2)," ",RIGHT(U225,2)," ",RIGHT(V225,2)," ",RIGHT(W225,2)," ",RIGHT(X225,2))</f>
        <v/>
      </c>
    </row>
    <row r="226">
      <c r="A226" s="202" t="n"/>
      <c r="B226" s="223" t="n"/>
      <c r="C226" s="160" t="inlineStr">
        <is>
          <t>Settings - 1 Gear</t>
        </is>
      </c>
      <c r="D226" s="160" t="inlineStr">
        <is>
          <t>55 43 49 12 00 10 04 4e 00 01 00 00 00 00 00 00 00 00 00 00 00 7e 70</t>
        </is>
      </c>
      <c r="E226" s="161" t="n"/>
      <c r="F226" s="191" t="n"/>
      <c r="G226" s="192" t="inlineStr">
        <is>
          <t>0x10</t>
        </is>
      </c>
      <c r="H226" s="178" t="inlineStr">
        <is>
          <t>0x04</t>
        </is>
      </c>
      <c r="I226" s="200" t="inlineStr">
        <is>
          <t>0x4E</t>
        </is>
      </c>
      <c r="J226" s="178" t="inlineStr">
        <is>
          <t>0x00</t>
        </is>
      </c>
      <c r="K226" s="130" t="inlineStr">
        <is>
          <t>0x01</t>
        </is>
      </c>
      <c r="L226" s="178" t="inlineStr">
        <is>
          <t>0x00</t>
        </is>
      </c>
      <c r="M226" s="178" t="inlineStr">
        <is>
          <t>0x00</t>
        </is>
      </c>
      <c r="N226" s="178" t="inlineStr">
        <is>
          <t>0x00</t>
        </is>
      </c>
      <c r="O226" s="178" t="inlineStr">
        <is>
          <t>0x00</t>
        </is>
      </c>
      <c r="P226" s="178" t="inlineStr">
        <is>
          <t>0x00</t>
        </is>
      </c>
      <c r="Q226" s="178" t="inlineStr">
        <is>
          <t>0x00</t>
        </is>
      </c>
      <c r="R226" s="178" t="inlineStr">
        <is>
          <t>0x00</t>
        </is>
      </c>
      <c r="S226" s="178" t="inlineStr">
        <is>
          <t>0x00</t>
        </is>
      </c>
      <c r="T226" s="178" t="inlineStr">
        <is>
          <t>0x00</t>
        </is>
      </c>
      <c r="U226" s="178" t="inlineStr">
        <is>
          <t>0x00</t>
        </is>
      </c>
      <c r="V226" s="178" t="inlineStr">
        <is>
          <t>0x00</t>
        </is>
      </c>
      <c r="W226" s="180">
        <f>"0x"&amp;MID(D226,64,2)</f>
        <v/>
      </c>
      <c r="X226" s="180">
        <f>"0x"&amp;MID(D226,67,2)</f>
        <v/>
      </c>
      <c r="Y226" s="182">
        <f>CONCATENATE(RIGHT(G226,2)," ",RIGHT(H226,2)," ",RIGHT(I226,2)," ",RIGHT(J226,2)," ",RIGHT(K226,2)," ",RIGHT(L226,2)," ",RIGHT(M226,2)," ",RIGHT(N226,2)," ",RIGHT(O226,2)," ",RIGHT(P226,2)," ",RIGHT(Q226,2)," ",RIGHT(R226,2)," ",RIGHT(S226,2)," ",RIGHT(T226,2)," ",RIGHT(U226,2)," ",RIGHT(V226,2)," ",RIGHT(W226,2)," ",RIGHT(X226,2))</f>
        <v/>
      </c>
    </row>
    <row r="227">
      <c r="A227" s="202" t="n"/>
      <c r="B227" s="223" t="n"/>
      <c r="C227" s="160" t="inlineStr">
        <is>
          <t>Setting-2nd Gear</t>
        </is>
      </c>
      <c r="D227" s="160" t="inlineStr">
        <is>
          <t>55 43 49 12 00 10 04 4e 00 02 00 00 00 00 00 00 00 00 00 00 00 e1 75</t>
        </is>
      </c>
      <c r="E227" s="161" t="n"/>
      <c r="F227" s="191" t="n"/>
      <c r="G227" s="192" t="inlineStr">
        <is>
          <t>0x10</t>
        </is>
      </c>
      <c r="H227" s="178" t="inlineStr">
        <is>
          <t>0x04</t>
        </is>
      </c>
      <c r="I227" s="200" t="inlineStr">
        <is>
          <t>0x4E</t>
        </is>
      </c>
      <c r="J227" s="178" t="inlineStr">
        <is>
          <t>0x00</t>
        </is>
      </c>
      <c r="K227" s="130" t="inlineStr">
        <is>
          <t>0x02</t>
        </is>
      </c>
      <c r="L227" s="178" t="inlineStr">
        <is>
          <t>0x00</t>
        </is>
      </c>
      <c r="M227" s="178" t="inlineStr">
        <is>
          <t>0x00</t>
        </is>
      </c>
      <c r="N227" s="178" t="inlineStr">
        <is>
          <t>0x00</t>
        </is>
      </c>
      <c r="O227" s="178" t="inlineStr">
        <is>
          <t>0x00</t>
        </is>
      </c>
      <c r="P227" s="178" t="inlineStr">
        <is>
          <t>0x00</t>
        </is>
      </c>
      <c r="Q227" s="178" t="inlineStr">
        <is>
          <t>0x00</t>
        </is>
      </c>
      <c r="R227" s="178" t="inlineStr">
        <is>
          <t>0x00</t>
        </is>
      </c>
      <c r="S227" s="178" t="inlineStr">
        <is>
          <t>0x00</t>
        </is>
      </c>
      <c r="T227" s="178" t="inlineStr">
        <is>
          <t>0x00</t>
        </is>
      </c>
      <c r="U227" s="178" t="inlineStr">
        <is>
          <t>0x00</t>
        </is>
      </c>
      <c r="V227" s="178" t="inlineStr">
        <is>
          <t>0x00</t>
        </is>
      </c>
      <c r="W227" s="180">
        <f>"0x"&amp;MID(D227,64,2)</f>
        <v/>
      </c>
      <c r="X227" s="180">
        <f>"0x"&amp;MID(D227,67,2)</f>
        <v/>
      </c>
      <c r="Y227" s="182">
        <f>CONCATENATE(RIGHT(G227,2)," ",RIGHT(H227,2)," ",RIGHT(I227,2)," ",RIGHT(J227,2)," ",RIGHT(K227,2)," ",RIGHT(L227,2)," ",RIGHT(M227,2)," ",RIGHT(N227,2)," ",RIGHT(O227,2)," ",RIGHT(P227,2)," ",RIGHT(Q227,2)," ",RIGHT(R227,2)," ",RIGHT(S227,2)," ",RIGHT(T227,2)," ",RIGHT(U227,2)," ",RIGHT(V227,2)," ",RIGHT(W227,2)," ",RIGHT(X227,2))</f>
        <v/>
      </c>
    </row>
    <row r="228" ht="15" customHeight="1" s="17">
      <c r="A228" s="203" t="n"/>
      <c r="B228" s="225" t="n"/>
      <c r="C228" s="174" t="inlineStr">
        <is>
          <t>Get</t>
        </is>
      </c>
      <c r="D228" s="174" t="inlineStr">
        <is>
          <t>55 43 49 12 00 10 04 8e 00 00 00 00 00 00 00 00 00 01 00 00 00 7e 79</t>
        </is>
      </c>
      <c r="E228" s="168" t="n"/>
      <c r="F228" s="191" t="n"/>
      <c r="G228" s="192" t="inlineStr">
        <is>
          <t>0x10</t>
        </is>
      </c>
      <c r="H228" s="178" t="inlineStr">
        <is>
          <t>0x04</t>
        </is>
      </c>
      <c r="I228" s="200" t="inlineStr">
        <is>
          <t>0x8E</t>
        </is>
      </c>
      <c r="J228" s="178" t="inlineStr">
        <is>
          <t>0x00</t>
        </is>
      </c>
      <c r="K228" s="130" t="inlineStr">
        <is>
          <t>0x01</t>
        </is>
      </c>
      <c r="L228" s="178" t="inlineStr">
        <is>
          <t>0x00</t>
        </is>
      </c>
      <c r="M228" s="178" t="inlineStr">
        <is>
          <t>0x00</t>
        </is>
      </c>
      <c r="N228" s="178" t="inlineStr">
        <is>
          <t>0x00</t>
        </is>
      </c>
      <c r="O228" s="178" t="inlineStr">
        <is>
          <t>0x00</t>
        </is>
      </c>
      <c r="P228" s="178" t="inlineStr">
        <is>
          <t>0x00</t>
        </is>
      </c>
      <c r="Q228" s="178" t="inlineStr">
        <is>
          <t>0x00</t>
        </is>
      </c>
      <c r="R228" s="178" t="inlineStr">
        <is>
          <t>0x00</t>
        </is>
      </c>
      <c r="S228" s="178" t="inlineStr">
        <is>
          <t>0x01</t>
        </is>
      </c>
      <c r="T228" s="178" t="inlineStr">
        <is>
          <t>0x00</t>
        </is>
      </c>
      <c r="U228" s="178" t="inlineStr">
        <is>
          <t>0x00</t>
        </is>
      </c>
      <c r="V228" s="178" t="inlineStr">
        <is>
          <t>0x00</t>
        </is>
      </c>
      <c r="W228" s="180">
        <f>"0x"&amp;MID(D228,64,2)</f>
        <v/>
      </c>
      <c r="X228" s="180">
        <f>"0x"&amp;MID(D228,67,2)</f>
        <v/>
      </c>
      <c r="Y228" s="182">
        <f>CONCATENATE(RIGHT(G228,2)," ",RIGHT(H228,2)," ",RIGHT(I228,2)," ",RIGHT(J228,2)," ",RIGHT(K228,2)," ",RIGHT(L228,2)," ",RIGHT(M228,2)," ",RIGHT(N228,2)," ",RIGHT(O228,2)," ",RIGHT(P228,2)," ",RIGHT(Q228,2)," ",RIGHT(R228,2)," ",RIGHT(S228,2)," ",RIGHT(T228,2)," ",RIGHT(U228,2)," ",RIGHT(V228,2)," ",RIGHT(W228,2)," ",RIGHT(X228,2))</f>
        <v/>
      </c>
    </row>
    <row r="229">
      <c r="A229" s="204" t="n"/>
      <c r="B229" s="152" t="n"/>
      <c r="C229" s="152" t="n"/>
      <c r="D229" s="152" t="n"/>
      <c r="E229" s="147" t="n"/>
    </row>
  </sheetData>
  <mergeCells count="53">
    <mergeCell ref="B53:B55"/>
    <mergeCell ref="B19:B25"/>
    <mergeCell ref="B189:B200"/>
    <mergeCell ref="B140:B152"/>
    <mergeCell ref="B38:B42"/>
    <mergeCell ref="B98:B104"/>
    <mergeCell ref="A1:E1"/>
    <mergeCell ref="O2:R2"/>
    <mergeCell ref="B118:B120"/>
    <mergeCell ref="D2:D3"/>
    <mergeCell ref="Y2:Y3"/>
    <mergeCell ref="A58:A67"/>
    <mergeCell ref="G1:Y1"/>
    <mergeCell ref="S2:T2"/>
    <mergeCell ref="B26:B37"/>
    <mergeCell ref="B58:B63"/>
    <mergeCell ref="U2:V2"/>
    <mergeCell ref="B110:B112"/>
    <mergeCell ref="B153:B164"/>
    <mergeCell ref="B201:B212"/>
    <mergeCell ref="B213:B224"/>
    <mergeCell ref="B121:B126"/>
    <mergeCell ref="B88:B91"/>
    <mergeCell ref="B113:B117"/>
    <mergeCell ref="B11:B18"/>
    <mergeCell ref="E121:E125"/>
    <mergeCell ref="B47:B49"/>
    <mergeCell ref="B165:B176"/>
    <mergeCell ref="B225:B228"/>
    <mergeCell ref="W3:X3"/>
    <mergeCell ref="B50:B52"/>
    <mergeCell ref="E2:E3"/>
    <mergeCell ref="B65:B66"/>
    <mergeCell ref="B127:B128"/>
    <mergeCell ref="E8:E10"/>
    <mergeCell ref="B129:B139"/>
    <mergeCell ref="B8:B10"/>
    <mergeCell ref="A129:A224"/>
    <mergeCell ref="B93:B97"/>
    <mergeCell ref="A2:C3"/>
    <mergeCell ref="A4:A18"/>
    <mergeCell ref="G2:I2"/>
    <mergeCell ref="E113:E116"/>
    <mergeCell ref="W2:X2"/>
    <mergeCell ref="B105:B109"/>
    <mergeCell ref="A43:A57"/>
    <mergeCell ref="A19:A42"/>
    <mergeCell ref="B44:B46"/>
    <mergeCell ref="B56:B57"/>
    <mergeCell ref="B68:B86"/>
    <mergeCell ref="K2:N2"/>
    <mergeCell ref="A68:A128"/>
    <mergeCell ref="B177:B188"/>
  </mergeCells>
  <pageMargins left="0.7" right="0.7" top="0.75" bottom="0.75" header="0.3" footer="0.3"/>
  <pageSetup orientation="portrait" paperSize="9" scale="50"/>
</worksheet>
</file>

<file path=xl/worksheets/sheet3.xml><?xml version="1.0" encoding="utf-8"?>
<worksheet xmlns="http://schemas.openxmlformats.org/spreadsheetml/2006/main">
  <sheetPr>
    <outlinePr summaryBelow="1" summaryRight="1"/>
    <pageSetUpPr/>
  </sheetPr>
  <dimension ref="A1:W33"/>
  <sheetViews>
    <sheetView workbookViewId="0">
      <selection activeCell="C72" sqref="C72"/>
    </sheetView>
  </sheetViews>
  <sheetFormatPr baseColWidth="8" defaultColWidth="9" defaultRowHeight="14.25"/>
  <cols>
    <col width="13.75" customWidth="1" style="17" min="1" max="1"/>
    <col width="17.25" customWidth="1" style="17" min="2" max="2"/>
    <col width="15.5" customWidth="1" style="17" min="3" max="3"/>
    <col width="14.625" customWidth="1" style="17" min="4" max="4"/>
    <col width="10" customWidth="1" style="17" min="5" max="6"/>
    <col width="14.625" customWidth="1" style="17" min="7" max="7"/>
    <col width="3.375" customWidth="1" style="17" min="21" max="21"/>
  </cols>
  <sheetData>
    <row r="1" ht="15" customHeight="1" s="17">
      <c r="A1" s="80" t="inlineStr">
        <is>
          <t>Serial Port Settings</t>
        </is>
      </c>
      <c r="B1" s="229" t="inlineStr">
        <is>
          <t>Baud Rate: 115200    Parity: NONE    Data Bits: 8    Stop Bits: 1    Flow Control: NONE</t>
        </is>
      </c>
      <c r="C1" s="230" t="n"/>
      <c r="D1" s="230" t="n"/>
      <c r="E1" s="230" t="n"/>
      <c r="F1" s="230" t="n"/>
      <c r="G1" s="230" t="n"/>
      <c r="H1" s="230" t="n"/>
      <c r="I1" s="230" t="n"/>
      <c r="J1" s="230" t="n"/>
      <c r="K1" s="230" t="n"/>
      <c r="L1" s="230" t="n"/>
      <c r="M1" s="230" t="n"/>
      <c r="N1" s="230" t="n"/>
      <c r="O1" s="230" t="n"/>
      <c r="P1" s="230" t="n"/>
      <c r="Q1" s="230" t="n"/>
      <c r="R1" s="230" t="n"/>
      <c r="S1" s="230" t="n"/>
      <c r="T1" s="231" t="n"/>
    </row>
    <row r="2">
      <c r="C2" s="37" t="n"/>
      <c r="D2" s="37" t="n"/>
      <c r="E2" s="37" t="n"/>
      <c r="F2" s="37" t="n"/>
      <c r="G2" s="37" t="n"/>
      <c r="H2" s="37" t="n"/>
      <c r="I2" s="37" t="n"/>
      <c r="J2" s="37" t="n"/>
      <c r="K2" s="37" t="n"/>
      <c r="L2" s="37" t="n"/>
      <c r="M2" s="37" t="n"/>
      <c r="N2" s="37" t="n"/>
      <c r="O2" s="37" t="n"/>
      <c r="P2" s="37" t="n"/>
      <c r="Q2" s="37" t="n"/>
      <c r="R2" s="37" t="n"/>
      <c r="S2" s="37" t="n"/>
      <c r="T2" s="37" t="n"/>
    </row>
    <row r="3" ht="37.5" customFormat="1" customHeight="1" s="4">
      <c r="A3" s="92" t="n"/>
      <c r="B3" s="84" t="inlineStr">
        <is>
          <t>Instruction Parsing</t>
        </is>
      </c>
      <c r="C3" s="215" t="n"/>
      <c r="D3" s="215" t="n"/>
      <c r="E3" s="215" t="n"/>
      <c r="F3" s="215" t="n"/>
      <c r="G3" s="215" t="n"/>
      <c r="H3" s="215" t="n"/>
      <c r="I3" s="215" t="n"/>
      <c r="J3" s="215" t="n"/>
      <c r="K3" s="215" t="n"/>
      <c r="L3" s="215" t="n"/>
      <c r="M3" s="215" t="n"/>
      <c r="N3" s="215" t="n"/>
      <c r="O3" s="215" t="n"/>
      <c r="P3" s="215" t="n"/>
      <c r="Q3" s="215" t="n"/>
      <c r="R3" s="215" t="n"/>
      <c r="S3" s="215" t="n"/>
      <c r="T3" s="216" t="n"/>
    </row>
    <row r="4" customFormat="1" s="4">
      <c r="A4" s="92" t="inlineStr">
        <is>
          <t>Content</t>
        </is>
      </c>
      <c r="B4" s="232" t="inlineStr">
        <is>
          <t>Instruction Header, Write Fixed Value
0x55 43 49 12 00</t>
        </is>
      </c>
      <c r="C4" s="233" t="inlineStr">
        <is>
          <t>CRC Check Part</t>
        </is>
      </c>
      <c r="D4" s="215" t="n"/>
      <c r="E4" s="215" t="n"/>
      <c r="F4" s="215" t="n"/>
      <c r="G4" s="215" t="n"/>
      <c r="H4" s="215" t="n"/>
      <c r="I4" s="215" t="n"/>
      <c r="J4" s="215" t="n"/>
      <c r="K4" s="215" t="n"/>
      <c r="L4" s="215" t="n"/>
      <c r="M4" s="215" t="n"/>
      <c r="N4" s="215" t="n"/>
      <c r="O4" s="215" t="n"/>
      <c r="P4" s="215" t="n"/>
      <c r="Q4" s="215" t="n"/>
      <c r="R4" s="216" t="n"/>
      <c r="S4" s="91" t="inlineStr">
        <is>
          <t>CRC Check Result</t>
        </is>
      </c>
      <c r="T4" s="234" t="n"/>
    </row>
    <row r="5" ht="43.5" customFormat="1" customHeight="1" s="4">
      <c r="A5" s="221" t="n"/>
      <c r="B5" s="221" t="n"/>
      <c r="C5" s="91" t="inlineStr">
        <is>
          <t>Command Header</t>
        </is>
      </c>
      <c r="D5" s="215" t="n"/>
      <c r="E5" s="216" t="n"/>
      <c r="F5" s="91" t="inlineStr">
        <is>
          <t>Reserved Bit</t>
        </is>
      </c>
      <c r="G5" s="91" t="inlineStr">
        <is>
          <t>Parameter 1
Prameters1</t>
        </is>
      </c>
      <c r="H5" s="215" t="n"/>
      <c r="I5" s="215" t="n"/>
      <c r="J5" s="216" t="n"/>
      <c r="K5" s="91" t="inlineStr">
        <is>
          <t>Parameter 2
Prameters2</t>
        </is>
      </c>
      <c r="L5" s="215" t="n"/>
      <c r="M5" s="215" t="n"/>
      <c r="N5" s="216" t="n"/>
      <c r="O5" s="91" t="inlineStr">
        <is>
          <t>Parameter Length in Receipt
Length</t>
        </is>
      </c>
      <c r="P5" s="216" t="n"/>
      <c r="Q5" s="91" t="inlineStr">
        <is>
          <t>Reserved, write fixed value
0x0000</t>
        </is>
      </c>
      <c r="R5" s="216" t="n"/>
      <c r="S5" s="235" t="n"/>
      <c r="T5" s="236" t="n"/>
    </row>
    <row r="6" customFormat="1" s="4">
      <c r="A6" s="92" t="inlineStr">
        <is>
          <t>Length/byte</t>
        </is>
      </c>
      <c r="B6" s="93" t="n">
        <v>5</v>
      </c>
      <c r="C6" s="93" t="n">
        <v>3</v>
      </c>
      <c r="D6" s="215" t="n"/>
      <c r="E6" s="216" t="n"/>
      <c r="F6" s="91" t="n">
        <v>1</v>
      </c>
      <c r="G6" s="91" t="n">
        <v>4</v>
      </c>
      <c r="H6" s="215" t="n"/>
      <c r="I6" s="215" t="n"/>
      <c r="J6" s="216" t="n"/>
      <c r="K6" s="91" t="n">
        <v>4</v>
      </c>
      <c r="L6" s="215" t="n"/>
      <c r="M6" s="215" t="n"/>
      <c r="N6" s="216" t="n"/>
      <c r="O6" s="91" t="n">
        <v>2</v>
      </c>
      <c r="P6" s="216" t="n"/>
      <c r="Q6" s="91" t="n">
        <v>2</v>
      </c>
      <c r="R6" s="216" t="n"/>
      <c r="S6" s="91" t="n">
        <v>2</v>
      </c>
      <c r="T6" s="216" t="n"/>
    </row>
    <row r="7" ht="42.75" customFormat="1" customHeight="1" s="4">
      <c r="A7" s="92" t="inlineStr">
        <is>
          <t>Command</t>
        </is>
      </c>
      <c r="B7" s="93" t="inlineStr">
        <is>
          <t>0x55 43 49 12 00</t>
        </is>
      </c>
      <c r="C7" s="91" t="inlineStr">
        <is>
          <t>Command Class</t>
        </is>
      </c>
      <c r="D7" s="91" t="inlineStr">
        <is>
          <t>Module Command  Index</t>
        </is>
      </c>
      <c r="E7" s="91" t="inlineStr">
        <is>
          <t>SubCmd</t>
        </is>
      </c>
      <c r="F7" s="91" t="inlineStr">
        <is>
          <t>reserved</t>
        </is>
      </c>
      <c r="G7" s="91" t="inlineStr">
        <is>
          <t>Para1[0]</t>
        </is>
      </c>
      <c r="H7" s="91" t="inlineStr">
        <is>
          <t>Para1[1]</t>
        </is>
      </c>
      <c r="I7" s="91" t="inlineStr">
        <is>
          <t>Para1[2]</t>
        </is>
      </c>
      <c r="J7" s="91" t="inlineStr">
        <is>
          <t>Para1[3]</t>
        </is>
      </c>
      <c r="K7" s="91" t="inlineStr">
        <is>
          <t>Para2[0]</t>
        </is>
      </c>
      <c r="L7" s="91" t="inlineStr">
        <is>
          <t>Para2[1]</t>
        </is>
      </c>
      <c r="M7" s="91" t="inlineStr">
        <is>
          <t>Para2[2]</t>
        </is>
      </c>
      <c r="N7" s="91" t="inlineStr">
        <is>
          <t>Para2[3]</t>
        </is>
      </c>
      <c r="O7" s="91" t="inlineStr">
        <is>
          <t>Len[0]</t>
        </is>
      </c>
      <c r="P7" s="91" t="inlineStr">
        <is>
          <t>Len[1]</t>
        </is>
      </c>
      <c r="Q7" s="91" t="inlineStr">
        <is>
          <t>0x00</t>
        </is>
      </c>
      <c r="R7" s="91" t="inlineStr">
        <is>
          <t>0x00</t>
        </is>
      </c>
      <c r="S7" s="91" t="inlineStr">
        <is>
          <t>CRC16[0]</t>
        </is>
      </c>
      <c r="T7" s="91" t="inlineStr">
        <is>
          <t>CRC16[1]</t>
        </is>
      </c>
    </row>
    <row r="8"/>
    <row r="9">
      <c r="A9" s="94" t="inlineStr">
        <is>
          <t>Example:
Get the coordinates of the highest temperature point in the region of interest</t>
        </is>
      </c>
      <c r="B9" s="96" t="inlineStr">
        <is>
          <t>55 43 49 12 00</t>
        </is>
      </c>
      <c r="C9" s="96" t="inlineStr">
        <is>
          <t>10</t>
        </is>
      </c>
      <c r="D9" s="96" t="inlineStr">
        <is>
          <t>10</t>
        </is>
      </c>
      <c r="E9" s="96" t="inlineStr">
        <is>
          <t>92</t>
        </is>
      </c>
      <c r="F9" s="96" t="inlineStr">
        <is>
          <t>00</t>
        </is>
      </c>
      <c r="G9" s="96" t="inlineStr">
        <is>
          <t>32</t>
        </is>
      </c>
      <c r="H9" s="96" t="inlineStr">
        <is>
          <t>00</t>
        </is>
      </c>
      <c r="I9" s="96" t="inlineStr">
        <is>
          <t>32</t>
        </is>
      </c>
      <c r="J9" s="96" t="inlineStr">
        <is>
          <t>00</t>
        </is>
      </c>
      <c r="K9" s="96" t="inlineStr">
        <is>
          <t>4d</t>
        </is>
      </c>
      <c r="L9" s="96" t="inlineStr">
        <is>
          <t>01</t>
        </is>
      </c>
      <c r="M9" s="96" t="inlineStr">
        <is>
          <t>ed</t>
        </is>
      </c>
      <c r="N9" s="96" t="inlineStr">
        <is>
          <t>00</t>
        </is>
      </c>
      <c r="O9" s="96" t="inlineStr">
        <is>
          <t>0e</t>
        </is>
      </c>
      <c r="P9" s="96" t="inlineStr">
        <is>
          <t>00</t>
        </is>
      </c>
      <c r="Q9" s="96" t="inlineStr">
        <is>
          <t>00</t>
        </is>
      </c>
      <c r="R9" s="96" t="inlineStr">
        <is>
          <t>00</t>
        </is>
      </c>
      <c r="S9" s="96" t="inlineStr">
        <is>
          <t>34</t>
        </is>
      </c>
      <c r="T9" s="96" t="inlineStr">
        <is>
          <t>59</t>
        </is>
      </c>
    </row>
    <row r="10" ht="35.25" customHeight="1" s="17">
      <c r="A10" s="221" t="n"/>
      <c r="B10" s="221" t="n"/>
      <c r="C10" s="221" t="n"/>
      <c r="D10" s="221" t="n"/>
      <c r="E10" s="221" t="n"/>
      <c r="F10" s="221" t="n"/>
      <c r="G10" s="102" t="inlineStr">
        <is>
          <t>X1=50</t>
        </is>
      </c>
      <c r="H10" s="216" t="n"/>
      <c r="I10" s="102" t="inlineStr">
        <is>
          <t>Y1=50</t>
        </is>
      </c>
      <c r="J10" s="216" t="n"/>
      <c r="K10" s="102" t="inlineStr">
        <is>
          <t>X2=333</t>
        </is>
      </c>
      <c r="L10" s="216" t="n"/>
      <c r="M10" s="102" t="inlineStr">
        <is>
          <t>Y2=237</t>
        </is>
      </c>
      <c r="N10" s="216" t="n"/>
      <c r="O10" s="94" t="inlineStr">
        <is>
          <t>Receipt data length is: 14byte</t>
        </is>
      </c>
      <c r="P10" s="216" t="n"/>
      <c r="Q10" s="221" t="n"/>
      <c r="R10" s="221" t="n"/>
      <c r="S10" s="221" t="n"/>
      <c r="T10" s="221" t="n"/>
    </row>
    <row r="11">
      <c r="A11" t="inlineStr">
        <is>
          <t>55 43 49 12 00 10 10 92 00 32 00 32 00 4d 01 ed 00 0e 00 00 00 34 59</t>
        </is>
      </c>
    </row>
    <row r="12">
      <c r="A12" s="102" t="inlineStr">
        <is>
          <t>Receipt</t>
        </is>
      </c>
      <c r="B12" s="101" t="inlineStr">
        <is>
          <t>CRC Check Part</t>
        </is>
      </c>
      <c r="C12" s="215" t="n"/>
      <c r="D12" s="215" t="n"/>
      <c r="E12" s="215" t="n"/>
      <c r="F12" s="215" t="n"/>
      <c r="G12" s="215" t="n"/>
      <c r="H12" s="215" t="n"/>
      <c r="I12" s="215" t="n"/>
      <c r="J12" s="215" t="n"/>
      <c r="K12" s="215" t="n"/>
      <c r="L12" s="215" t="n"/>
      <c r="M12" s="215" t="n"/>
      <c r="N12" s="215" t="n"/>
      <c r="O12" s="215" t="n"/>
      <c r="P12" s="215" t="n"/>
      <c r="Q12" s="215" t="n"/>
      <c r="R12" s="215" t="n"/>
      <c r="S12" s="216" t="n"/>
      <c r="T12" s="103" t="inlineStr">
        <is>
          <t>CRC Check Result</t>
        </is>
      </c>
      <c r="U12" s="234" t="n"/>
      <c r="V12" s="92" t="inlineStr">
        <is>
          <t>Instruction Tail, Write Fixed Value</t>
        </is>
      </c>
      <c r="W12" s="234" t="n"/>
    </row>
    <row r="13" customFormat="1" s="4">
      <c r="A13" s="237" t="n"/>
      <c r="B13" s="92" t="inlineStr">
        <is>
          <t>Instruction Header, Write Fixed Value</t>
        </is>
      </c>
      <c r="C13" s="92" t="inlineStr">
        <is>
          <t>Instruction Data Part Length</t>
        </is>
      </c>
      <c r="D13" s="216" t="n"/>
      <c r="E13" s="92" t="inlineStr">
        <is>
          <t>Instruction Status</t>
        </is>
      </c>
      <c r="F13" s="92" t="inlineStr">
        <is>
          <t>Instruction Data Part</t>
        </is>
      </c>
      <c r="G13" s="215" t="n"/>
      <c r="H13" s="215" t="n"/>
      <c r="I13" s="215" t="n"/>
      <c r="J13" s="215" t="n"/>
      <c r="K13" s="215" t="n"/>
      <c r="L13" s="215" t="n"/>
      <c r="M13" s="215" t="n"/>
      <c r="N13" s="215" t="n"/>
      <c r="O13" s="215" t="n"/>
      <c r="P13" s="215" t="n"/>
      <c r="Q13" s="215" t="n"/>
      <c r="R13" s="215" t="n"/>
      <c r="S13" s="216" t="n"/>
      <c r="T13" s="235" t="n"/>
      <c r="U13" s="236" t="n"/>
      <c r="V13" s="235" t="n"/>
      <c r="W13" s="236" t="n"/>
    </row>
    <row r="14" customFormat="1" s="4">
      <c r="A14" s="237" t="n"/>
      <c r="B14" s="102" t="inlineStr">
        <is>
          <t>BE AA</t>
        </is>
      </c>
      <c r="C14" s="102" t="inlineStr">
        <is>
          <t>0F 00</t>
        </is>
      </c>
      <c r="D14" s="216" t="n"/>
      <c r="E14" s="96" t="inlineStr">
        <is>
          <t>00</t>
        </is>
      </c>
      <c r="F14" s="96" t="inlineStr">
        <is>
          <t xml:space="preserve"> D4</t>
        </is>
      </c>
      <c r="G14" s="96" t="inlineStr">
        <is>
          <t xml:space="preserve">1F </t>
        </is>
      </c>
      <c r="H14" s="96" t="inlineStr">
        <is>
          <t>AE</t>
        </is>
      </c>
      <c r="I14" s="96" t="inlineStr">
        <is>
          <t>6F</t>
        </is>
      </c>
      <c r="J14" s="96" t="inlineStr">
        <is>
          <t xml:space="preserve"> E0</t>
        </is>
      </c>
      <c r="K14" s="96" t="n">
        <v>79</v>
      </c>
      <c r="L14" s="96" t="inlineStr">
        <is>
          <t xml:space="preserve"> 4C</t>
        </is>
      </c>
      <c r="M14" s="96" t="inlineStr">
        <is>
          <t>00</t>
        </is>
      </c>
      <c r="N14" s="96" t="inlineStr">
        <is>
          <t xml:space="preserve"> D2</t>
        </is>
      </c>
      <c r="O14" s="96" t="inlineStr">
        <is>
          <t>00</t>
        </is>
      </c>
      <c r="P14" s="96" t="inlineStr">
        <is>
          <t xml:space="preserve">39 </t>
        </is>
      </c>
      <c r="Q14" s="96" t="inlineStr">
        <is>
          <t>00</t>
        </is>
      </c>
      <c r="R14" s="96" t="inlineStr">
        <is>
          <t>33</t>
        </is>
      </c>
      <c r="S14" s="96" t="inlineStr">
        <is>
          <t xml:space="preserve">00 </t>
        </is>
      </c>
      <c r="T14" s="96" t="inlineStr">
        <is>
          <t>D3</t>
        </is>
      </c>
      <c r="U14" s="102" t="inlineStr">
        <is>
          <t>F0</t>
        </is>
      </c>
      <c r="V14" s="102" t="inlineStr">
        <is>
          <t>EB</t>
        </is>
      </c>
      <c r="W14" s="96" t="inlineStr">
        <is>
          <t>AA</t>
        </is>
      </c>
    </row>
    <row r="15" customFormat="1" s="4">
      <c r="A15" s="221" t="n"/>
      <c r="B15" s="221" t="n"/>
      <c r="C15" s="102" t="inlineStr">
        <is>
          <t>Including Instruction Status, a total of 15byte receipt length</t>
        </is>
      </c>
      <c r="D15" s="216" t="n"/>
      <c r="E15" s="102" t="inlineStr">
        <is>
          <t>Non-00 is abnormal</t>
        </is>
      </c>
      <c r="F15" s="102" t="inlineStr">
        <is>
          <t>Minimum Value</t>
        </is>
      </c>
      <c r="G15" s="216" t="n"/>
      <c r="H15" s="102" t="inlineStr">
        <is>
          <t>Average Value</t>
        </is>
      </c>
      <c r="I15" s="216" t="n"/>
      <c r="J15" s="102" t="inlineStr">
        <is>
          <t>Maximum Value</t>
        </is>
      </c>
      <c r="K15" s="216" t="n"/>
      <c r="L15" s="102" t="inlineStr">
        <is>
          <t>Minimum Value X Coordinate</t>
        </is>
      </c>
      <c r="M15" s="216" t="n"/>
      <c r="N15" s="102" t="inlineStr">
        <is>
          <t>Minimum Value Y Coordinate</t>
        </is>
      </c>
      <c r="O15" s="216" t="n"/>
      <c r="P15" s="102" t="inlineStr">
        <is>
          <t>Maximum Value X Coordinate</t>
        </is>
      </c>
      <c r="Q15" s="216" t="n"/>
      <c r="R15" s="102" t="inlineStr">
        <is>
          <t>Maximum Value Y Coordinate</t>
        </is>
      </c>
      <c r="S15" s="216" t="n"/>
      <c r="T15" s="221" t="n"/>
      <c r="U15" s="221" t="n"/>
      <c r="V15" s="221" t="n"/>
      <c r="W15" s="221" t="n"/>
    </row>
    <row r="16">
      <c r="A16" t="inlineStr">
        <is>
          <t>BE AA 0F 00 00 D4 1F AE 6F E0 79 4C 00 D2 00 39 00 33 00 D3 F0 EB AA</t>
        </is>
      </c>
    </row>
    <row r="17">
      <c r="A17" s="102" t="inlineStr">
        <is>
          <t>General Acknowledgment Receipt</t>
        </is>
      </c>
      <c r="B17" s="101" t="inlineStr">
        <is>
          <t>CRC Check Part</t>
        </is>
      </c>
      <c r="C17" s="215" t="n"/>
      <c r="D17" s="215" t="n"/>
      <c r="E17" s="216" t="n"/>
      <c r="F17" s="103" t="inlineStr">
        <is>
          <t>CRC Check Result</t>
        </is>
      </c>
      <c r="G17" s="234" t="n"/>
      <c r="H17" s="92" t="inlineStr">
        <is>
          <t>Command End, Fixed Value</t>
        </is>
      </c>
      <c r="I17" s="234" t="n"/>
    </row>
    <row r="18" s="17">
      <c r="A18" s="237" t="n"/>
      <c r="B18" s="92" t="inlineStr">
        <is>
          <t>Instruction Header, Write Fixed Value</t>
        </is>
      </c>
      <c r="C18" s="92" t="inlineStr">
        <is>
          <t>Instruction Data Part Length</t>
        </is>
      </c>
      <c r="D18" s="216" t="n"/>
      <c r="E18" s="92" t="inlineStr">
        <is>
          <t>Instruction Status</t>
        </is>
      </c>
      <c r="F18" s="235" t="n"/>
      <c r="G18" s="236" t="n"/>
      <c r="H18" s="235" t="n"/>
      <c r="I18" s="236" t="n"/>
    </row>
    <row r="19">
      <c r="A19" s="221" t="n"/>
      <c r="B19" s="105" t="inlineStr">
        <is>
          <t>BEAA</t>
        </is>
      </c>
      <c r="C19" s="105" t="inlineStr">
        <is>
          <t>01</t>
        </is>
      </c>
      <c r="D19" s="105" t="inlineStr">
        <is>
          <t>00</t>
        </is>
      </c>
      <c r="E19" s="105" t="inlineStr">
        <is>
          <t>00</t>
        </is>
      </c>
      <c r="F19" s="105" t="inlineStr">
        <is>
          <t>7B</t>
        </is>
      </c>
      <c r="G19" s="105" t="n">
        <v>54</v>
      </c>
      <c r="H19" s="105" t="inlineStr">
        <is>
          <t>EB</t>
        </is>
      </c>
      <c r="I19" s="105" t="inlineStr">
        <is>
          <t>AA</t>
        </is>
      </c>
    </row>
    <row r="20">
      <c r="A20" t="inlineStr">
        <is>
          <t xml:space="preserve">BE AA 01 00 00 7B 54 EB AA </t>
        </is>
      </c>
    </row>
    <row r="22" ht="23.25" customHeight="1" s="17">
      <c r="A22" s="115" t="inlineStr">
        <is>
          <t>Video Output Settings</t>
        </is>
      </c>
      <c r="B22" s="238" t="n"/>
      <c r="C22" s="238" t="n"/>
      <c r="D22" s="238" t="n"/>
      <c r="E22" s="238" t="n"/>
      <c r="F22" s="238" t="n"/>
      <c r="G22" s="238" t="n"/>
      <c r="H22" s="238" t="n"/>
      <c r="I22" s="238" t="n"/>
      <c r="J22" s="236" t="n"/>
      <c r="M22" s="239" t="inlineStr">
        <is>
          <t>Command CRC Check</t>
        </is>
      </c>
      <c r="N22" s="215" t="n"/>
      <c r="O22" s="215" t="n"/>
      <c r="P22" s="215" t="n"/>
      <c r="Q22" s="215" t="n"/>
      <c r="R22" s="215" t="n"/>
      <c r="S22" s="215" t="n"/>
      <c r="T22" s="215" t="n"/>
      <c r="U22" s="215" t="n"/>
      <c r="V22" s="216" t="n"/>
    </row>
    <row r="23" s="17">
      <c r="A23" s="240" t="inlineStr">
        <is>
          <t>The mini2 series supports separate control and storage of digital and analog video.
The module's factory settings do not enable any digital or analog output. If you need to modify it to a specified digital/analog output, please follow these steps:
1. Connect to the communication port (uart/usb/i2c)
2. Set the digital output format. Note that to ensure correct execution, you must send a digital output format (including turning off the digital output)
3. Set the analog output format. Note that to ensure correct execution, you must send an analog output format (including turning off the analog output)
4. Send the video output dedicated save command
5. After restarting, the module will output according to the previously saved format</t>
        </is>
      </c>
      <c r="B23" s="241" t="n"/>
      <c r="C23" s="241" t="n"/>
      <c r="D23" s="241" t="n"/>
      <c r="E23" s="241" t="n"/>
      <c r="F23" s="241" t="n"/>
      <c r="G23" s="241" t="n"/>
      <c r="H23" s="241" t="n"/>
      <c r="I23" s="241" t="n"/>
      <c r="J23" s="234" t="n"/>
      <c r="M23" s="240" t="inlineStr">
        <is>
          <t>1. The CRC check part of the send command does not include the command header, the CRC check part of the receipt includes the command header
2. The model used for CRC check of the command data part is: CRC-16/XMODEM
3. You can try it at the following URL: http://www.ip33.com/crc.html
In addition, our company also provides a CRC check code sample《crc16_sample.c》</t>
        </is>
      </c>
      <c r="N23" s="241" t="n"/>
      <c r="O23" s="241" t="n"/>
      <c r="P23" s="241" t="n"/>
      <c r="Q23" s="241" t="n"/>
      <c r="R23" s="241" t="n"/>
      <c r="S23" s="241" t="n"/>
      <c r="T23" s="241" t="n"/>
      <c r="U23" s="241" t="n"/>
      <c r="V23" s="234" t="n"/>
    </row>
    <row r="24">
      <c r="A24" s="242" t="n"/>
      <c r="J24" s="213" t="n"/>
      <c r="M24" s="242" t="n"/>
      <c r="V24" s="213" t="n"/>
    </row>
    <row r="25">
      <c r="A25" s="242" t="n"/>
      <c r="J25" s="213" t="n"/>
      <c r="M25" s="242" t="n"/>
      <c r="V25" s="213" t="n"/>
    </row>
    <row r="26">
      <c r="A26" s="242" t="n"/>
      <c r="J26" s="213" t="n"/>
      <c r="M26" s="242" t="n"/>
      <c r="V26" s="213" t="n"/>
    </row>
    <row r="27">
      <c r="A27" s="242" t="n"/>
      <c r="J27" s="213" t="n"/>
      <c r="M27" s="235" t="n"/>
      <c r="N27" s="238" t="n"/>
      <c r="O27" s="238" t="n"/>
      <c r="P27" s="238" t="n"/>
      <c r="Q27" s="238" t="n"/>
      <c r="R27" s="238" t="n"/>
      <c r="S27" s="238" t="n"/>
      <c r="T27" s="238" t="n"/>
      <c r="U27" s="238" t="n"/>
      <c r="V27" s="236" t="n"/>
    </row>
    <row r="28">
      <c r="A28" s="242" t="n"/>
      <c r="J28" s="213" t="n"/>
    </row>
    <row r="29">
      <c r="A29" s="242" t="n"/>
      <c r="J29" s="213" t="n"/>
    </row>
    <row r="30">
      <c r="A30" s="242" t="n"/>
      <c r="J30" s="213" t="n"/>
    </row>
    <row r="31">
      <c r="A31" s="242" t="n"/>
      <c r="J31" s="213" t="n"/>
    </row>
    <row r="32">
      <c r="A32" s="242" t="n"/>
      <c r="J32" s="213" t="n"/>
    </row>
    <row r="33">
      <c r="A33" s="235" t="n"/>
      <c r="B33" s="238" t="n"/>
      <c r="C33" s="238" t="n"/>
      <c r="D33" s="238" t="n"/>
      <c r="E33" s="238" t="n"/>
      <c r="F33" s="238" t="n"/>
      <c r="G33" s="238" t="n"/>
      <c r="H33" s="238" t="n"/>
      <c r="I33" s="238" t="n"/>
      <c r="J33" s="236" t="n"/>
    </row>
  </sheetData>
  <mergeCells count="61">
    <mergeCell ref="H17:I18"/>
    <mergeCell ref="T12:U13"/>
    <mergeCell ref="C15:D15"/>
    <mergeCell ref="A17:A19"/>
    <mergeCell ref="A22:J22"/>
    <mergeCell ref="O10:P10"/>
    <mergeCell ref="T14:T15"/>
    <mergeCell ref="O6:P6"/>
    <mergeCell ref="C14:D14"/>
    <mergeCell ref="B14:B15"/>
    <mergeCell ref="C9:C10"/>
    <mergeCell ref="T9:T10"/>
    <mergeCell ref="K6:N6"/>
    <mergeCell ref="E9:E10"/>
    <mergeCell ref="S4:T5"/>
    <mergeCell ref="F15:G15"/>
    <mergeCell ref="O5:P5"/>
    <mergeCell ref="R15:S15"/>
    <mergeCell ref="V12:W13"/>
    <mergeCell ref="Q5:R5"/>
    <mergeCell ref="G10:H10"/>
    <mergeCell ref="M10:N10"/>
    <mergeCell ref="J15:K15"/>
    <mergeCell ref="L15:M15"/>
    <mergeCell ref="A12:A15"/>
    <mergeCell ref="Q9:Q10"/>
    <mergeCell ref="S9:S10"/>
    <mergeCell ref="M23:V27"/>
    <mergeCell ref="K5:N5"/>
    <mergeCell ref="A23:J33"/>
    <mergeCell ref="B3:T3"/>
    <mergeCell ref="B9:B10"/>
    <mergeCell ref="D9:D10"/>
    <mergeCell ref="F9:F10"/>
    <mergeCell ref="A4:A5"/>
    <mergeCell ref="U14:U15"/>
    <mergeCell ref="Q6:R6"/>
    <mergeCell ref="W14:W15"/>
    <mergeCell ref="S6:T6"/>
    <mergeCell ref="C4:R4"/>
    <mergeCell ref="V14:V15"/>
    <mergeCell ref="C6:E6"/>
    <mergeCell ref="F13:S13"/>
    <mergeCell ref="G6:J6"/>
    <mergeCell ref="B17:E17"/>
    <mergeCell ref="R9:R10"/>
    <mergeCell ref="B4:B5"/>
    <mergeCell ref="C5:E5"/>
    <mergeCell ref="N15:O15"/>
    <mergeCell ref="M22:V22"/>
    <mergeCell ref="A9:A10"/>
    <mergeCell ref="I10:J10"/>
    <mergeCell ref="P15:Q15"/>
    <mergeCell ref="K10:L10"/>
    <mergeCell ref="H15:I15"/>
    <mergeCell ref="B1:T1"/>
    <mergeCell ref="C13:D13"/>
    <mergeCell ref="C18:D18"/>
    <mergeCell ref="G5:J5"/>
    <mergeCell ref="B12:S12"/>
    <mergeCell ref="F17:G18"/>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S56"/>
  <sheetViews>
    <sheetView topLeftCell="A10" workbookViewId="0">
      <selection activeCell="C72" sqref="C72"/>
    </sheetView>
  </sheetViews>
  <sheetFormatPr baseColWidth="8" defaultColWidth="9" defaultRowHeight="14.25"/>
  <cols>
    <col width="20.875" customWidth="1" style="17" min="1" max="1"/>
    <col width="28.5" customWidth="1" style="17" min="2" max="2"/>
    <col width="36.875" customWidth="1" style="17" min="3" max="3"/>
    <col width="19.125" customWidth="1" style="17" min="8" max="8"/>
    <col width="16.875" customWidth="1" style="17" min="9" max="9"/>
    <col width="42.625" customWidth="1" style="17" min="10" max="10"/>
    <col width="13.125" customWidth="1" style="17" min="14" max="14"/>
    <col width="13.625" customWidth="1" style="17" min="15" max="15"/>
  </cols>
  <sheetData>
    <row r="1">
      <c r="A1" s="35" t="inlineStr">
        <is>
          <t>Basic Information</t>
        </is>
      </c>
      <c r="H1" s="35" t="inlineStr">
        <is>
          <t>Command Issuance Example</t>
        </is>
      </c>
    </row>
    <row r="2">
      <c r="A2" s="36" t="inlineStr">
        <is>
          <t>The module I2C SLAVE address is 0x3c (0111100, 7bit), the command buffer register start address is 0x1d00, and the command status register address is 0x0200</t>
        </is>
      </c>
      <c r="H2" s="37" t="inlineStr">
        <is>
          <t>Write Command: Taking Shutter as an Example</t>
        </is>
      </c>
    </row>
    <row r="3" ht="15" customHeight="1" s="17">
      <c r="H3" s="8" t="inlineStr">
        <is>
          <t>1. Issue Command (Single)</t>
        </is>
      </c>
    </row>
    <row r="4" ht="15" customHeight="1" s="17">
      <c r="H4" s="38" t="inlineStr">
        <is>
          <t>SLAVE ADDR</t>
        </is>
      </c>
      <c r="I4" s="40" t="inlineStr">
        <is>
          <t>VDCMD BUF ADDR</t>
        </is>
      </c>
      <c r="J4" s="41" t="inlineStr">
        <is>
          <t>VDCMD DATA STURCTURE</t>
        </is>
      </c>
    </row>
    <row r="5" ht="15" customHeight="1" s="17">
      <c r="A5" s="35" t="inlineStr">
        <is>
          <t>Write Command</t>
        </is>
      </c>
      <c r="H5" s="39" t="inlineStr">
        <is>
          <t>0x78</t>
        </is>
      </c>
      <c r="I5" s="42" t="inlineStr">
        <is>
          <t xml:space="preserve">  0x1d00</t>
        </is>
      </c>
      <c r="J5" s="43" t="inlineStr">
        <is>
          <t>10 02 43 00 00 00 00 00 00 00 00 00 00 00 00 00 CF C8</t>
        </is>
      </c>
    </row>
    <row r="6" ht="15" customHeight="1" s="17">
      <c r="A6" s="38" t="inlineStr">
        <is>
          <t>SLAVE ADDR</t>
        </is>
      </c>
      <c r="B6" s="40" t="inlineStr">
        <is>
          <t>VDCMD BUF ADDR</t>
        </is>
      </c>
      <c r="C6" s="41" t="inlineStr">
        <is>
          <t>VDCMD DATA STURCTURE</t>
        </is>
      </c>
      <c r="H6" s="37" t="inlineStr">
        <is>
          <t>Or split the command into multiple deliveries, taking three times as an example</t>
        </is>
      </c>
    </row>
    <row r="7" ht="15" customHeight="1" s="17">
      <c r="A7" s="39" t="inlineStr">
        <is>
          <t>0x78</t>
        </is>
      </c>
      <c r="B7" s="42" t="inlineStr">
        <is>
          <t xml:space="preserve">  0x1d00</t>
        </is>
      </c>
      <c r="C7" s="43" t="inlineStr">
        <is>
          <t>CMD</t>
        </is>
      </c>
      <c r="H7" s="38" t="inlineStr">
        <is>
          <t>SLAVE ADDR</t>
        </is>
      </c>
      <c r="I7" s="40" t="inlineStr">
        <is>
          <t>VDCMD BUF ADDR</t>
        </is>
      </c>
      <c r="J7" s="41" t="inlineStr">
        <is>
          <t>VDCMD DATA STURCTURE</t>
        </is>
      </c>
    </row>
    <row r="8" ht="15" customHeight="1" s="17">
      <c r="A8" s="36" t="inlineStr">
        <is>
          <t>PS: The BIT[15] of the VDCMD BUF ADDR address space indicates whether the data completion triggers the module interrupt. When bit[15] = 0 and the I2C receives the Stop signal, the module interrupt is given. For example, if the I2C HOST sends 8 bytes of data to the module BUF, there are the following two modes:
1. Single complete data transfer: VDCMD BUF ADDR is set to 0x1d00, and 8 bytes of data are transmitted at once.
2. Multiple complete data transfers: If only 1 byte is transmitted each time, the VDCMD BUF ADDR is set starting from 0x9d00, with the BUF ADDR incremented sequentially (0x9d01, 0x9d02 ...), and the last communication, the VDCMD BUF ADDR is set to 0x1d07.</t>
        </is>
      </c>
      <c r="H8" s="39" t="inlineStr">
        <is>
          <t>0x78</t>
        </is>
      </c>
      <c r="I8" s="42" t="inlineStr">
        <is>
          <t xml:space="preserve">  0x9d00</t>
        </is>
      </c>
      <c r="J8" s="43" t="inlineStr">
        <is>
          <t xml:space="preserve">10 02 43 00 00 00 00 00 </t>
        </is>
      </c>
    </row>
    <row r="9" ht="15" customHeight="1" s="17">
      <c r="H9" s="38" t="inlineStr">
        <is>
          <t>SLAVE ADDR</t>
        </is>
      </c>
      <c r="I9" s="40" t="inlineStr">
        <is>
          <t>VDCMD BUF ADDR</t>
        </is>
      </c>
      <c r="J9" s="41" t="inlineStr">
        <is>
          <t>VDCMD DATA STURCTURE</t>
        </is>
      </c>
    </row>
    <row r="10" ht="15" customHeight="1" s="17">
      <c r="H10" s="39" t="inlineStr">
        <is>
          <t>0x78</t>
        </is>
      </c>
      <c r="I10" s="42" t="inlineStr">
        <is>
          <t xml:space="preserve">  0x9d08</t>
        </is>
      </c>
      <c r="J10" s="43" t="inlineStr">
        <is>
          <t xml:space="preserve"> 00 00 00 00 00 00 00 00 </t>
        </is>
      </c>
    </row>
    <row r="11" ht="15" customHeight="1" s="17">
      <c r="H11" s="38" t="inlineStr">
        <is>
          <t>SLAVE ADDR</t>
        </is>
      </c>
      <c r="I11" s="40" t="inlineStr">
        <is>
          <t>VDCMD BUF ADDR</t>
        </is>
      </c>
      <c r="J11" s="41" t="inlineStr">
        <is>
          <t>VDCMD DATA STURCTURE</t>
        </is>
      </c>
    </row>
    <row r="12" ht="15" customHeight="1" s="17">
      <c r="H12" s="39" t="inlineStr">
        <is>
          <t>0x78</t>
        </is>
      </c>
      <c r="I12" s="42" t="inlineStr">
        <is>
          <t xml:space="preserve">  0x1d10</t>
        </is>
      </c>
      <c r="J12" s="43" t="inlineStr">
        <is>
          <t>CF C8</t>
        </is>
      </c>
    </row>
    <row r="13" ht="15" customHeight="1" s="17">
      <c r="H13" s="37" t="inlineStr">
        <is>
          <t>2. Get execution result</t>
        </is>
      </c>
    </row>
    <row r="14" ht="15" customHeight="1" s="17">
      <c r="H14" s="38" t="inlineStr">
        <is>
          <t>SLAVE ADDR</t>
        </is>
      </c>
      <c r="I14" s="40" t="inlineStr">
        <is>
          <t>CMD STS ADDR</t>
        </is>
      </c>
      <c r="J14" s="44" t="inlineStr">
        <is>
          <t>SLAVE ADDR</t>
        </is>
      </c>
      <c r="K14" s="45" t="inlineStr">
        <is>
          <t>DATA</t>
        </is>
      </c>
    </row>
    <row r="15" ht="15" customHeight="1" s="17">
      <c r="A15" s="35" t="inlineStr">
        <is>
          <t>Command processing status read</t>
        </is>
      </c>
      <c r="H15" s="39" t="inlineStr">
        <is>
          <t>0x78</t>
        </is>
      </c>
      <c r="I15" s="42" t="inlineStr">
        <is>
          <t>0x0200</t>
        </is>
      </c>
      <c r="J15" s="46" t="inlineStr">
        <is>
          <t>0x79</t>
        </is>
      </c>
      <c r="K15" s="47" t="inlineStr">
        <is>
          <t>CMD_Status</t>
        </is>
      </c>
    </row>
    <row r="16" ht="15" customHeight="1" s="17">
      <c r="A16" s="38" t="inlineStr">
        <is>
          <t>SLAVE ADDR</t>
        </is>
      </c>
      <c r="B16" s="40" t="inlineStr">
        <is>
          <t>CMD STS ADDR</t>
        </is>
      </c>
      <c r="C16" s="44" t="inlineStr">
        <is>
          <t>SLAVE ADDR</t>
        </is>
      </c>
      <c r="D16" s="45" t="inlineStr">
        <is>
          <t>DATA</t>
        </is>
      </c>
    </row>
    <row r="17" ht="15" customHeight="1" s="17">
      <c r="A17" s="39" t="inlineStr">
        <is>
          <t>0x78</t>
        </is>
      </c>
      <c r="B17" s="42" t="inlineStr">
        <is>
          <t>0x0200</t>
        </is>
      </c>
      <c r="C17" s="46" t="inlineStr">
        <is>
          <t>0x79</t>
        </is>
      </c>
      <c r="D17" s="47" t="inlineStr">
        <is>
          <t>CMD_Status</t>
        </is>
      </c>
      <c r="H17" s="37" t="inlineStr">
        <is>
          <t>Read command: taking shutter status as an example</t>
        </is>
      </c>
    </row>
    <row r="18" ht="15" customHeight="1" s="17">
      <c r="A18" s="36" t="inlineStr">
        <is>
          <t>After sending the write command via I2C, the command status needs to be obtained. CMD_Status is an 8-bit register
CMD_Status[0]: Current status of CMD, 0 IDLE, 1 BUSY
CMD_Status[1]: CMD execution result, 0 PASS, 1 FAIL
CMD_Status[2:7]: CMD error code:
0 Correct, 1 Error length, 2 Unknown instruction, 3 Hardware error, 4 Unknown instruction (not yet enabled), 5-7 CRC check error</t>
        </is>
      </c>
      <c r="H18" s="8" t="inlineStr">
        <is>
          <t>1. Issue Command (Single)</t>
        </is>
      </c>
    </row>
    <row r="19" ht="15" customHeight="1" s="17">
      <c r="H19" s="38" t="inlineStr">
        <is>
          <t>SLAVE ADDR</t>
        </is>
      </c>
      <c r="I19" s="40" t="inlineStr">
        <is>
          <t>VDCMD BUF ADDR</t>
        </is>
      </c>
      <c r="J19" s="41" t="inlineStr">
        <is>
          <t>VDCMD DATA STURCTURE</t>
        </is>
      </c>
    </row>
    <row r="20" ht="15" customHeight="1" s="17">
      <c r="H20" s="39" t="inlineStr">
        <is>
          <t>0x78</t>
        </is>
      </c>
      <c r="I20" s="42" t="inlineStr">
        <is>
          <t xml:space="preserve">  0x1d00</t>
        </is>
      </c>
      <c r="J20" s="43" t="inlineStr">
        <is>
          <t>10 02 81 00 00 00 00 00 00 00 00 00 01 00 00 00 78 34</t>
        </is>
      </c>
    </row>
    <row r="21" ht="15" customHeight="1" s="17">
      <c r="H21" s="8" t="inlineStr">
        <is>
          <t>2. Get execution result</t>
        </is>
      </c>
    </row>
    <row r="22" ht="15" customHeight="1" s="17">
      <c r="H22" s="38" t="inlineStr">
        <is>
          <t>SLAVE ADDR</t>
        </is>
      </c>
      <c r="I22" s="40" t="inlineStr">
        <is>
          <t>CMD STS ADDR</t>
        </is>
      </c>
      <c r="J22" s="44" t="inlineStr">
        <is>
          <t>SLAVE ADDR</t>
        </is>
      </c>
      <c r="K22" s="45" t="inlineStr">
        <is>
          <t>DATA</t>
        </is>
      </c>
    </row>
    <row r="23" ht="15" customHeight="1" s="17">
      <c r="A23" s="35" t="inlineStr">
        <is>
          <t>Read command</t>
        </is>
      </c>
      <c r="H23" s="39" t="inlineStr">
        <is>
          <t>0x78</t>
        </is>
      </c>
      <c r="I23" s="42" t="inlineStr">
        <is>
          <t>0x0200</t>
        </is>
      </c>
      <c r="J23" s="46" t="inlineStr">
        <is>
          <t>0x79</t>
        </is>
      </c>
      <c r="K23" s="47" t="inlineStr">
        <is>
          <t>CMD_Status</t>
        </is>
      </c>
    </row>
    <row r="24" ht="15" customHeight="1" s="17">
      <c r="A24" s="37" t="inlineStr">
        <is>
          <t>1. Send command</t>
        </is>
      </c>
      <c r="H24" s="37" t="inlineStr">
        <is>
          <t>3. Read result</t>
        </is>
      </c>
    </row>
    <row r="25" ht="15" customHeight="1" s="17">
      <c r="A25" s="38" t="inlineStr">
        <is>
          <t>SLAVE ADDR</t>
        </is>
      </c>
      <c r="B25" s="40" t="inlineStr">
        <is>
          <t>VDCMD BUF ADDR</t>
        </is>
      </c>
      <c r="C25" s="41" t="inlineStr">
        <is>
          <t>VDCMD DATA STURCTURE</t>
        </is>
      </c>
      <c r="H25" s="48" t="inlineStr">
        <is>
          <t>SLAVE ADDR</t>
        </is>
      </c>
      <c r="I25" s="40" t="inlineStr">
        <is>
          <t>VDCMD BUF ADDR</t>
        </is>
      </c>
      <c r="J25" s="44" t="inlineStr">
        <is>
          <t>SLAVE ADDR</t>
        </is>
      </c>
      <c r="K25" s="50" t="inlineStr">
        <is>
          <t>DATA</t>
        </is>
      </c>
    </row>
    <row r="26" ht="15" customHeight="1" s="17">
      <c r="A26" s="39" t="inlineStr">
        <is>
          <t>0x78</t>
        </is>
      </c>
      <c r="B26" s="49" t="inlineStr">
        <is>
          <t>0x1d00</t>
        </is>
      </c>
      <c r="C26" s="43" t="inlineStr">
        <is>
          <t>CMD</t>
        </is>
      </c>
      <c r="H26" s="39" t="inlineStr">
        <is>
          <t>0x78</t>
        </is>
      </c>
      <c r="I26" s="49" t="inlineStr">
        <is>
          <t>0x1d00</t>
        </is>
      </c>
      <c r="J26" s="46" t="inlineStr">
        <is>
          <t>0x79</t>
        </is>
      </c>
      <c r="K26" s="51" t="n"/>
    </row>
    <row r="27" ht="15" customHeight="1" s="17">
      <c r="A27" s="37" t="inlineStr">
        <is>
          <t>2. Confirm command execution completion</t>
        </is>
      </c>
    </row>
    <row r="28" ht="15" customHeight="1" s="17">
      <c r="A28" s="38" t="inlineStr">
        <is>
          <t>SLAVE ADDR</t>
        </is>
      </c>
      <c r="B28" s="40" t="inlineStr">
        <is>
          <t>CMD STS ADDR</t>
        </is>
      </c>
      <c r="C28" s="44" t="inlineStr">
        <is>
          <t>SLAVE ADDR</t>
        </is>
      </c>
      <c r="D28" s="50" t="inlineStr">
        <is>
          <t>DATA</t>
        </is>
      </c>
    </row>
    <row r="29" ht="15" customHeight="1" s="17">
      <c r="A29" s="39" t="inlineStr">
        <is>
          <t>0x78</t>
        </is>
      </c>
      <c r="B29" s="42" t="inlineStr">
        <is>
          <t>0x0200</t>
        </is>
      </c>
      <c r="C29" s="46" t="inlineStr">
        <is>
          <t>0x79</t>
        </is>
      </c>
      <c r="D29" s="43" t="inlineStr">
        <is>
          <t>CMD_Status</t>
        </is>
      </c>
    </row>
    <row r="30" ht="15" customHeight="1" s="17">
      <c r="A30" s="37" t="inlineStr">
        <is>
          <t>3. Read result</t>
        </is>
      </c>
    </row>
    <row r="31" ht="15" customHeight="1" s="17">
      <c r="A31" s="48" t="inlineStr">
        <is>
          <t>SLAVE ADDR</t>
        </is>
      </c>
      <c r="B31" s="40" t="inlineStr">
        <is>
          <t>VDCMD BUF ADDR</t>
        </is>
      </c>
      <c r="C31" s="44" t="inlineStr">
        <is>
          <t>SLAVE ADDR</t>
        </is>
      </c>
      <c r="D31" s="50" t="inlineStr">
        <is>
          <t>DATA</t>
        </is>
      </c>
    </row>
    <row r="32" ht="15" customHeight="1" s="17">
      <c r="A32" s="39" t="inlineStr">
        <is>
          <t>0x78</t>
        </is>
      </c>
      <c r="B32" s="49" t="inlineStr">
        <is>
          <t>0x1d00</t>
        </is>
      </c>
      <c r="C32" s="46" t="inlineStr">
        <is>
          <t>0x79</t>
        </is>
      </c>
      <c r="D32" s="51" t="n"/>
    </row>
    <row r="35" ht="15" customHeight="1" s="17"/>
    <row r="36" ht="15" customHeight="1" s="17">
      <c r="A36" s="78" t="inlineStr">
        <is>
          <t>VDCMD DATA STURCTURE</t>
        </is>
      </c>
      <c r="B36" s="230" t="n"/>
      <c r="C36" s="230" t="n"/>
      <c r="D36" s="230" t="n"/>
      <c r="E36" s="230" t="n"/>
      <c r="F36" s="230" t="n"/>
      <c r="G36" s="230" t="n"/>
      <c r="H36" s="230" t="n"/>
      <c r="I36" s="230" t="n"/>
      <c r="J36" s="230" t="n"/>
      <c r="K36" s="230" t="n"/>
      <c r="L36" s="230" t="n"/>
      <c r="M36" s="230" t="n"/>
      <c r="N36" s="230" t="n"/>
      <c r="O36" s="230" t="n"/>
      <c r="P36" s="230" t="n"/>
      <c r="Q36" s="230" t="n"/>
      <c r="R36" s="230" t="n"/>
      <c r="S36" s="243" t="n"/>
    </row>
    <row r="37" ht="15" customHeight="1" s="17">
      <c r="A37" s="52" t="inlineStr">
        <is>
          <t>Content</t>
        </is>
      </c>
      <c r="B37" s="233" t="inlineStr">
        <is>
          <t>CRC Check Part</t>
        </is>
      </c>
      <c r="C37" s="215" t="n"/>
      <c r="D37" s="215" t="n"/>
      <c r="E37" s="215" t="n"/>
      <c r="F37" s="215" t="n"/>
      <c r="G37" s="215" t="n"/>
      <c r="H37" s="215" t="n"/>
      <c r="I37" s="215" t="n"/>
      <c r="J37" s="215" t="n"/>
      <c r="K37" s="215" t="n"/>
      <c r="L37" s="215" t="n"/>
      <c r="M37" s="215" t="n"/>
      <c r="N37" s="215" t="n"/>
      <c r="O37" s="215" t="n"/>
      <c r="P37" s="215" t="n"/>
      <c r="Q37" s="216" t="n"/>
      <c r="R37" s="91" t="inlineStr">
        <is>
          <t>CRC Check Result</t>
        </is>
      </c>
      <c r="S37" s="234" t="n"/>
    </row>
    <row r="38" ht="15" customHeight="1" s="17">
      <c r="A38" s="52" t="n"/>
      <c r="B38" s="91" t="inlineStr">
        <is>
          <t>Command Header</t>
        </is>
      </c>
      <c r="C38" s="215" t="n"/>
      <c r="D38" s="216" t="n"/>
      <c r="E38" s="91" t="inlineStr">
        <is>
          <t>Reserved Bit</t>
        </is>
      </c>
      <c r="F38" s="91" t="inlineStr">
        <is>
          <t>Parameter 1
Prameters1</t>
        </is>
      </c>
      <c r="G38" s="215" t="n"/>
      <c r="H38" s="215" t="n"/>
      <c r="I38" s="216" t="n"/>
      <c r="J38" s="91" t="inlineStr">
        <is>
          <t>Parameter 2
Prameters2</t>
        </is>
      </c>
      <c r="K38" s="215" t="n"/>
      <c r="L38" s="215" t="n"/>
      <c r="M38" s="216" t="n"/>
      <c r="N38" s="91" t="inlineStr">
        <is>
          <t>Parameter Length in Receipt
Length</t>
        </is>
      </c>
      <c r="O38" s="216" t="n"/>
      <c r="P38" s="91" t="inlineStr">
        <is>
          <t>Reserved, write fixed value
0x0000</t>
        </is>
      </c>
      <c r="Q38" s="216" t="n"/>
      <c r="R38" s="235" t="n"/>
      <c r="S38" s="236" t="n"/>
    </row>
    <row r="39" ht="15" customHeight="1" s="17">
      <c r="A39" s="52" t="inlineStr">
        <is>
          <t>Length/byte</t>
        </is>
      </c>
      <c r="B39" s="93" t="n">
        <v>3</v>
      </c>
      <c r="C39" s="215" t="n"/>
      <c r="D39" s="216" t="n"/>
      <c r="E39" s="91" t="n">
        <v>1</v>
      </c>
      <c r="F39" s="91" t="n">
        <v>4</v>
      </c>
      <c r="G39" s="215" t="n"/>
      <c r="H39" s="215" t="n"/>
      <c r="I39" s="216" t="n"/>
      <c r="J39" s="91" t="n">
        <v>4</v>
      </c>
      <c r="K39" s="215" t="n"/>
      <c r="L39" s="215" t="n"/>
      <c r="M39" s="216" t="n"/>
      <c r="N39" s="91" t="n">
        <v>2</v>
      </c>
      <c r="O39" s="216" t="n"/>
      <c r="P39" s="91" t="n">
        <v>2</v>
      </c>
      <c r="Q39" s="216" t="n"/>
      <c r="R39" s="91" t="n">
        <v>2</v>
      </c>
      <c r="S39" s="216" t="n"/>
    </row>
    <row r="40" ht="15" customHeight="1" s="17">
      <c r="A40" s="52" t="inlineStr">
        <is>
          <t>Command</t>
        </is>
      </c>
      <c r="B40" s="91" t="inlineStr">
        <is>
          <t>Command Class</t>
        </is>
      </c>
      <c r="C40" s="91" t="inlineStr">
        <is>
          <t>Module Command  Index</t>
        </is>
      </c>
      <c r="D40" s="91" t="inlineStr">
        <is>
          <t>SubCmd</t>
        </is>
      </c>
      <c r="E40" s="91" t="inlineStr">
        <is>
          <t>reserved</t>
        </is>
      </c>
      <c r="F40" s="91" t="inlineStr">
        <is>
          <t>Para1[0]</t>
        </is>
      </c>
      <c r="G40" s="91" t="inlineStr">
        <is>
          <t>Para1[1]</t>
        </is>
      </c>
      <c r="H40" s="91" t="inlineStr">
        <is>
          <t>Para1[2]</t>
        </is>
      </c>
      <c r="I40" s="91" t="inlineStr">
        <is>
          <t>Para1[3]</t>
        </is>
      </c>
      <c r="J40" s="91" t="inlineStr">
        <is>
          <t>Para2[0]</t>
        </is>
      </c>
      <c r="K40" s="91" t="inlineStr">
        <is>
          <t>Para2[1]</t>
        </is>
      </c>
      <c r="L40" s="91" t="inlineStr">
        <is>
          <t>Para2[2]</t>
        </is>
      </c>
      <c r="M40" s="91" t="inlineStr">
        <is>
          <t>Para2[3]</t>
        </is>
      </c>
      <c r="N40" s="91" t="inlineStr">
        <is>
          <t>Len[0]</t>
        </is>
      </c>
      <c r="O40" s="91" t="inlineStr">
        <is>
          <t>Len[1]</t>
        </is>
      </c>
      <c r="P40" s="91" t="inlineStr">
        <is>
          <t>0x00</t>
        </is>
      </c>
      <c r="Q40" s="91" t="inlineStr">
        <is>
          <t>0x00</t>
        </is>
      </c>
      <c r="R40" s="91" t="inlineStr">
        <is>
          <t>CRC16[0]</t>
        </is>
      </c>
      <c r="S40" s="91" t="inlineStr">
        <is>
          <t>CRC16[1]</t>
        </is>
      </c>
    </row>
    <row r="41">
      <c r="A41" s="244" t="inlineStr">
        <is>
          <t>Example:
Get the coordinates of the highest temperature point in the region of interest</t>
        </is>
      </c>
    </row>
    <row r="42">
      <c r="B42" s="59" t="inlineStr">
        <is>
          <t>10</t>
        </is>
      </c>
      <c r="C42" s="59" t="inlineStr">
        <is>
          <t>10</t>
        </is>
      </c>
      <c r="D42" s="59" t="inlineStr">
        <is>
          <t>92</t>
        </is>
      </c>
      <c r="E42" s="59" t="inlineStr">
        <is>
          <t>00</t>
        </is>
      </c>
      <c r="F42" s="59" t="inlineStr">
        <is>
          <t>32</t>
        </is>
      </c>
      <c r="G42" s="59" t="inlineStr">
        <is>
          <t>00</t>
        </is>
      </c>
      <c r="H42" s="59" t="inlineStr">
        <is>
          <t>32</t>
        </is>
      </c>
      <c r="I42" s="59" t="inlineStr">
        <is>
          <t>00</t>
        </is>
      </c>
      <c r="J42" s="59" t="inlineStr">
        <is>
          <t>4d</t>
        </is>
      </c>
      <c r="K42" s="59" t="inlineStr">
        <is>
          <t>01</t>
        </is>
      </c>
      <c r="L42" s="59" t="inlineStr">
        <is>
          <t>ed</t>
        </is>
      </c>
      <c r="M42" s="59" t="inlineStr">
        <is>
          <t>00</t>
        </is>
      </c>
      <c r="N42" s="59" t="inlineStr">
        <is>
          <t>0e</t>
        </is>
      </c>
      <c r="O42" s="59" t="inlineStr">
        <is>
          <t>00</t>
        </is>
      </c>
      <c r="P42" s="59" t="inlineStr">
        <is>
          <t>00</t>
        </is>
      </c>
      <c r="Q42" s="59" t="inlineStr">
        <is>
          <t>00</t>
        </is>
      </c>
      <c r="R42" s="59" t="inlineStr">
        <is>
          <t>34</t>
        </is>
      </c>
      <c r="S42" s="59" t="inlineStr">
        <is>
          <t>59</t>
        </is>
      </c>
    </row>
    <row r="43">
      <c r="A43" s="238" t="n"/>
      <c r="B43" s="221" t="n"/>
      <c r="C43" s="221" t="n"/>
      <c r="D43" s="221" t="n"/>
      <c r="E43" s="221" t="n"/>
      <c r="F43" s="66" t="inlineStr">
        <is>
          <t>X1=50</t>
        </is>
      </c>
      <c r="G43" s="216" t="n"/>
      <c r="H43" s="66" t="inlineStr">
        <is>
          <t>Y1=50</t>
        </is>
      </c>
      <c r="I43" s="216" t="n"/>
      <c r="J43" s="66" t="inlineStr">
        <is>
          <t>X2=333</t>
        </is>
      </c>
      <c r="K43" s="216" t="n"/>
      <c r="L43" s="66" t="inlineStr">
        <is>
          <t>Y2=237</t>
        </is>
      </c>
      <c r="M43" s="216" t="n"/>
      <c r="N43" s="245" t="inlineStr">
        <is>
          <t>Receipt data length is: 14byte</t>
        </is>
      </c>
      <c r="O43" s="216" t="n"/>
      <c r="P43" s="221" t="n"/>
      <c r="Q43" s="221" t="n"/>
      <c r="R43" s="221" t="n"/>
      <c r="S43" s="221" t="n"/>
    </row>
    <row r="44">
      <c r="A44" t="inlineStr">
        <is>
          <t xml:space="preserve"> 10 10 92 00 32 00 32 00 4d 01 ed 00 0e 00 00 00 34 59</t>
        </is>
      </c>
    </row>
    <row r="45" ht="15" customHeight="1" s="17"/>
    <row r="46">
      <c r="A46" s="66" t="inlineStr">
        <is>
          <t>Status receipt</t>
        </is>
      </c>
      <c r="B46" s="246" t="inlineStr">
        <is>
          <t>CMD_Status</t>
        </is>
      </c>
      <c r="C46" s="208" t="n"/>
      <c r="D46" s="208" t="n"/>
      <c r="E46" s="208" t="n"/>
      <c r="F46" s="208" t="n"/>
      <c r="G46" s="208" t="n"/>
      <c r="H46" s="208" t="n"/>
    </row>
    <row r="47" ht="15" customHeight="1" s="17">
      <c r="A47" s="237" t="n"/>
      <c r="B47" s="247" t="n"/>
      <c r="C47" s="218" t="n"/>
      <c r="D47" s="218" t="n"/>
      <c r="E47" s="218" t="n"/>
      <c r="F47" s="218" t="n"/>
      <c r="G47" s="218" t="n"/>
      <c r="H47" s="218" t="n"/>
    </row>
    <row r="48">
      <c r="A48" s="221" t="n"/>
      <c r="B48" s="248" t="inlineStr">
        <is>
          <t>00</t>
        </is>
      </c>
      <c r="C48" s="249" t="n"/>
      <c r="D48" s="249" t="n"/>
      <c r="E48" s="249" t="n"/>
      <c r="F48" s="249" t="n"/>
      <c r="G48" s="249" t="n"/>
      <c r="H48" s="250" t="n"/>
    </row>
    <row r="49">
      <c r="A49" s="36" t="inlineStr">
        <is>
          <t>CMD_Status[0] is 0, indicating that the instruction has finished running
CMD_Status[1] is 0, indicating that the instruction ran successfully
CMD_Status[2:7] is 0, indicating that the instruction executed successfully</t>
        </is>
      </c>
    </row>
    <row r="50"/>
    <row r="51"/>
    <row r="52" ht="15" customHeight="1" s="17"/>
    <row r="53">
      <c r="A53" s="66" t="inlineStr">
        <is>
          <t>Data receipt</t>
        </is>
      </c>
      <c r="B53" s="72" t="inlineStr">
        <is>
          <t>DATA</t>
        </is>
      </c>
      <c r="C53" s="249" t="n"/>
      <c r="D53" s="249" t="n"/>
      <c r="E53" s="249" t="n"/>
      <c r="F53" s="249" t="n"/>
      <c r="G53" s="249" t="n"/>
      <c r="H53" s="249" t="n"/>
      <c r="I53" s="249" t="n"/>
      <c r="J53" s="249" t="n"/>
      <c r="K53" s="249" t="n"/>
      <c r="L53" s="249" t="n"/>
      <c r="M53" s="249" t="n"/>
      <c r="N53" s="249" t="n"/>
      <c r="O53" s="249" t="n"/>
    </row>
    <row r="54">
      <c r="A54" s="237" t="n"/>
      <c r="B54" s="59" t="inlineStr">
        <is>
          <t xml:space="preserve"> D4</t>
        </is>
      </c>
      <c r="C54" s="59" t="inlineStr">
        <is>
          <t xml:space="preserve">1F </t>
        </is>
      </c>
      <c r="D54" s="59" t="inlineStr">
        <is>
          <t>AE</t>
        </is>
      </c>
      <c r="E54" s="59" t="inlineStr">
        <is>
          <t>6F</t>
        </is>
      </c>
      <c r="F54" s="59" t="inlineStr">
        <is>
          <t xml:space="preserve"> E0</t>
        </is>
      </c>
      <c r="G54" s="59" t="n">
        <v>79</v>
      </c>
      <c r="H54" s="59" t="inlineStr">
        <is>
          <t xml:space="preserve"> 4C</t>
        </is>
      </c>
      <c r="I54" s="59" t="inlineStr">
        <is>
          <t>00</t>
        </is>
      </c>
      <c r="J54" s="59" t="inlineStr">
        <is>
          <t xml:space="preserve"> D2</t>
        </is>
      </c>
      <c r="K54" s="59" t="inlineStr">
        <is>
          <t>00</t>
        </is>
      </c>
      <c r="L54" s="59" t="inlineStr">
        <is>
          <t xml:space="preserve">39 </t>
        </is>
      </c>
      <c r="M54" s="59" t="inlineStr">
        <is>
          <t>00</t>
        </is>
      </c>
      <c r="N54" s="59" t="inlineStr">
        <is>
          <t>33</t>
        </is>
      </c>
      <c r="O54" s="59" t="inlineStr">
        <is>
          <t xml:space="preserve">00 </t>
        </is>
      </c>
    </row>
    <row r="55">
      <c r="A55" s="221" t="n"/>
      <c r="B55" s="66" t="inlineStr">
        <is>
          <t>Minimum Value</t>
        </is>
      </c>
      <c r="C55" s="216" t="n"/>
      <c r="D55" s="66" t="inlineStr">
        <is>
          <t>Average Value</t>
        </is>
      </c>
      <c r="E55" s="216" t="n"/>
      <c r="F55" s="66" t="inlineStr">
        <is>
          <t>Maximum Value</t>
        </is>
      </c>
      <c r="G55" s="216" t="n"/>
      <c r="H55" s="66" t="inlineStr">
        <is>
          <t>Minimum Value X Coordinate</t>
        </is>
      </c>
      <c r="I55" s="216" t="n"/>
      <c r="J55" s="66" t="inlineStr">
        <is>
          <t>Minimum Value Y Coordinate</t>
        </is>
      </c>
      <c r="K55" s="216" t="n"/>
      <c r="L55" s="66" t="inlineStr">
        <is>
          <t>Maximum Value X Coordinate</t>
        </is>
      </c>
      <c r="M55" s="216" t="n"/>
      <c r="N55" s="66" t="inlineStr">
        <is>
          <t>Maximum Value Y Coordinate</t>
        </is>
      </c>
      <c r="O55" s="216" t="n"/>
    </row>
    <row r="56">
      <c r="A56" t="inlineStr">
        <is>
          <t>D4 1F AE 6F E0 79 4C 00 D2 00 39 00 33 00 D3 F0</t>
        </is>
      </c>
    </row>
  </sheetData>
  <mergeCells count="60">
    <mergeCell ref="B37:Q37"/>
    <mergeCell ref="R37:S38"/>
    <mergeCell ref="C42:C43"/>
    <mergeCell ref="P38:Q38"/>
    <mergeCell ref="E42:E43"/>
    <mergeCell ref="F39:I39"/>
    <mergeCell ref="H43:I43"/>
    <mergeCell ref="A27:C27"/>
    <mergeCell ref="B46:H47"/>
    <mergeCell ref="H55:I55"/>
    <mergeCell ref="Q42:Q43"/>
    <mergeCell ref="H2:J2"/>
    <mergeCell ref="S42:S43"/>
    <mergeCell ref="H17:J17"/>
    <mergeCell ref="B42:B43"/>
    <mergeCell ref="B38:D38"/>
    <mergeCell ref="A53:A55"/>
    <mergeCell ref="F55:G55"/>
    <mergeCell ref="L43:M43"/>
    <mergeCell ref="N43:O43"/>
    <mergeCell ref="A5:C5"/>
    <mergeCell ref="A23:C23"/>
    <mergeCell ref="J39:M39"/>
    <mergeCell ref="H13:J13"/>
    <mergeCell ref="A18:C22"/>
    <mergeCell ref="A49:C52"/>
    <mergeCell ref="A2:C4"/>
    <mergeCell ref="J38:M38"/>
    <mergeCell ref="H3:J3"/>
    <mergeCell ref="R42:R43"/>
    <mergeCell ref="J55:K55"/>
    <mergeCell ref="N39:O39"/>
    <mergeCell ref="A8:C14"/>
    <mergeCell ref="L55:M55"/>
    <mergeCell ref="P39:Q39"/>
    <mergeCell ref="H24:J24"/>
    <mergeCell ref="B53:O53"/>
    <mergeCell ref="H18:J18"/>
    <mergeCell ref="A36:S36"/>
    <mergeCell ref="N38:O38"/>
    <mergeCell ref="B48:H48"/>
    <mergeCell ref="A30:C30"/>
    <mergeCell ref="A41:A43"/>
    <mergeCell ref="D42:D43"/>
    <mergeCell ref="A15:C15"/>
    <mergeCell ref="H21:J21"/>
    <mergeCell ref="A24:C24"/>
    <mergeCell ref="H1:J1"/>
    <mergeCell ref="F43:G43"/>
    <mergeCell ref="B55:C55"/>
    <mergeCell ref="J43:K43"/>
    <mergeCell ref="D55:E55"/>
    <mergeCell ref="A1:C1"/>
    <mergeCell ref="P42:P43"/>
    <mergeCell ref="F38:I38"/>
    <mergeCell ref="A46:A48"/>
    <mergeCell ref="B39:D39"/>
    <mergeCell ref="N55:O55"/>
    <mergeCell ref="R39:S39"/>
    <mergeCell ref="H6:J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1"/>
  <sheetViews>
    <sheetView topLeftCell="B68" workbookViewId="0">
      <selection activeCell="C72" sqref="C72"/>
    </sheetView>
  </sheetViews>
  <sheetFormatPr baseColWidth="8" defaultColWidth="9" defaultRowHeight="14.25"/>
  <cols>
    <col width="13.8833333333333" customWidth="1" style="17" min="1" max="1"/>
    <col width="16.1083333333333" customWidth="1" style="17" min="2" max="2"/>
    <col width="27.1083333333333" customWidth="1" style="17" min="3" max="3"/>
    <col width="36.5583333333333" customWidth="1" style="17" min="4" max="4"/>
    <col width="54.2166666666667" customWidth="1" style="4" min="5" max="5"/>
    <col width="42.8833333333333" customWidth="1" style="17" min="6" max="6"/>
    <col width="44.3333333333333" customWidth="1" style="17" min="7" max="7"/>
  </cols>
  <sheetData>
    <row r="1">
      <c r="C1" s="2" t="inlineStr">
        <is>
          <t>Command</t>
        </is>
      </c>
      <c r="D1" s="2" t="inlineStr">
        <is>
          <t>Function</t>
        </is>
      </c>
      <c r="E1" s="2" t="inlineStr">
        <is>
          <t>Parameter</t>
        </is>
      </c>
      <c r="G1" s="3" t="inlineStr">
        <is>
          <t>Notes</t>
        </is>
      </c>
    </row>
    <row r="2">
      <c r="A2" s="4" t="inlineStr">
        <is>
          <t>Shutter Related</t>
        </is>
      </c>
      <c r="B2" s="4" t="n"/>
      <c r="C2" s="20" t="inlineStr">
        <is>
          <t>Shutter Calibration</t>
        </is>
      </c>
      <c r="D2" s="8" t="inlineStr">
        <is>
          <t>basic_ffc_update</t>
        </is>
      </c>
      <c r="E2" s="8" t="n"/>
      <c r="F2" s="8" t="n"/>
      <c r="G2" s="8" t="n"/>
    </row>
    <row r="3">
      <c r="B3" s="4" t="n"/>
      <c r="C3" s="160" t="inlineStr">
        <is>
          <t>Background Correction</t>
        </is>
      </c>
      <c r="D3" s="8" t="inlineStr">
        <is>
          <t>adv_ffc_without_shutter</t>
        </is>
      </c>
      <c r="E3" s="8" t="n"/>
      <c r="F3" s="8" t="n"/>
      <c r="G3" s="8" t="n"/>
    </row>
    <row r="4">
      <c r="B4" s="4" t="n"/>
      <c r="C4" s="160" t="inlineStr">
        <is>
          <t>Close Shutter</t>
        </is>
      </c>
      <c r="D4" s="8" t="inlineStr">
        <is>
          <t>adv_shutter_tab_close</t>
        </is>
      </c>
      <c r="E4" s="8" t="n"/>
      <c r="F4" s="8" t="n"/>
      <c r="G4" s="8" t="n"/>
    </row>
    <row r="5">
      <c r="B5" s="4" t="n"/>
      <c r="C5" s="160" t="inlineStr">
        <is>
          <t>Open Shutter</t>
        </is>
      </c>
      <c r="D5" s="8" t="inlineStr">
        <is>
          <t>adv_shutter_tab_open</t>
        </is>
      </c>
      <c r="E5" s="8" t="n"/>
      <c r="F5" s="8" t="n"/>
      <c r="G5" s="8" t="n"/>
    </row>
    <row r="6" ht="42.75" customHeight="1" s="17">
      <c r="B6" s="4" t="n"/>
      <c r="C6" s="8" t="inlineStr">
        <is>
          <t>Set automatic shutter</t>
        </is>
      </c>
      <c r="D6" s="8" t="inlineStr">
        <is>
          <t>basic_auto_ffc_status_set</t>
        </is>
      </c>
      <c r="E6" s="36" t="inlineStr">
        <is>
          <t>ffc_status: Set the switch status of the automatic shutter.
0: disable
1: enable</t>
        </is>
      </c>
      <c r="F6" s="8" t="n"/>
      <c r="G6" s="8" t="n"/>
    </row>
    <row r="7" ht="42.75" customHeight="1" s="17">
      <c r="B7" s="4" t="n"/>
      <c r="C7" s="8" t="inlineStr">
        <is>
          <t>Get automatic shutter</t>
        </is>
      </c>
      <c r="D7" s="8" t="inlineStr">
        <is>
          <t>basic_auto_ffc_status_get</t>
        </is>
      </c>
      <c r="E7" s="36" t="inlineStr">
        <is>
          <t>ffc_status: Get the switch status of the automatic shutter.
0: disable
1: enable</t>
        </is>
      </c>
      <c r="F7" s="8" t="n"/>
      <c r="G7" s="8" t="n"/>
    </row>
    <row r="8" ht="57" customHeight="1" s="17">
      <c r="B8" s="4" t="n"/>
      <c r="C8" s="158" t="inlineStr">
        <is>
          <t>Set Auto Shutter Parameters</t>
        </is>
      </c>
      <c r="D8" s="8" t="inlineStr">
        <is>
          <t>basic_auto_ffc_current_params_set</t>
        </is>
      </c>
      <c r="E8" s="36" t="inlineStr">
        <is>
          <t>param_type Auto Shutter Parameter Type.
0: Vtemp Threshold to Trigger Auto Shutter
1: Minimum Interval to Trigger Auto Shutter
2: Maximum Interval to Trigger Auto Shutter</t>
        </is>
      </c>
      <c r="F8" s="8" t="inlineStr">
        <is>
          <t>value: Set the corresponding value based on the selected parameter type</t>
        </is>
      </c>
      <c r="G8" s="8" t="n"/>
    </row>
    <row r="9" ht="57" customHeight="1" s="17">
      <c r="B9" s="4" t="n"/>
      <c r="C9" s="11" t="inlineStr">
        <is>
          <t>Get Auto Shutter Parameters</t>
        </is>
      </c>
      <c r="D9" s="12" t="inlineStr">
        <is>
          <t>basic_auto_ffc_current_params_get</t>
        </is>
      </c>
      <c r="E9" s="36" t="inlineStr">
        <is>
          <t>param_type Auto Shutter Parameter Type.
0: Vtemp Threshold to Trigger Auto Shutter
1: Minimum Interval to Trigger Auto Shutter
2: Maximum Interval to Trigger Auto Shutter</t>
        </is>
      </c>
      <c r="F9" s="8" t="inlineStr">
        <is>
          <t>value: Set the corresponding value based on the selected parameter type</t>
        </is>
      </c>
      <c r="G9" s="8" t="n"/>
    </row>
    <row r="10">
      <c r="C10" s="23" t="n"/>
    </row>
    <row r="11" ht="57" customHeight="1" s="17">
      <c r="A11" s="4" t="inlineStr">
        <is>
          <t>Calibration Related Instructions</t>
        </is>
      </c>
      <c r="B11" s="14" t="inlineStr">
        <is>
          <t>k Value Calibration</t>
        </is>
      </c>
      <c r="C11" s="15" t="inlineStr">
        <is>
          <t>Calibrate k Value</t>
        </is>
      </c>
      <c r="D11" s="8" t="inlineStr">
        <is>
          <t>adv_k_value_calibration</t>
        </is>
      </c>
      <c r="E11" s="206" t="inlineStr">
        <is>
          <t>status: 
0: Select this status when aligning with a low-temperature object
1: Select this status when aligning with a high-temperature object
2: Select this status after aligning with both low and high-temperature objects to calibrate the k value</t>
        </is>
      </c>
    </row>
    <row r="12" ht="28.5" customHeight="1" s="17">
      <c r="B12" s="213" t="n"/>
      <c r="C12" s="18" t="inlineStr">
        <is>
          <t>Save K value</t>
        </is>
      </c>
      <c r="D12" s="8" t="inlineStr">
        <is>
          <t>basic_save_data</t>
        </is>
      </c>
      <c r="E12" s="206" t="inlineStr">
        <is>
          <t>type Data type to save
2: Save k value</t>
        </is>
      </c>
    </row>
    <row r="13" s="17">
      <c r="B13" s="213" t="n"/>
      <c r="C13" s="18" t="inlineStr">
        <is>
          <t>Cancel k Value Calibration Result</t>
        </is>
      </c>
      <c r="D13" s="8" t="inlineStr">
        <is>
          <t>adv_k_value_calibration_cancel</t>
        </is>
      </c>
      <c r="E13" s="8" t="n"/>
    </row>
    <row r="14" s="17">
      <c r="B14" s="213" t="n"/>
      <c r="C14" s="18" t="inlineStr">
        <is>
          <t>Clear K value</t>
        </is>
      </c>
      <c r="D14" s="8" t="inlineStr">
        <is>
          <t>adv_k_value_clear</t>
        </is>
      </c>
      <c r="E14" s="8" t="n"/>
    </row>
    <row r="15" ht="28.5" customHeight="1" s="17">
      <c r="B15" s="213" t="n"/>
      <c r="C15" s="19" t="inlineStr">
        <is>
          <t>Restore Factory k Value</t>
        </is>
      </c>
      <c r="D15" s="8" t="inlineStr">
        <is>
          <t>basic_restore_default_data</t>
        </is>
      </c>
      <c r="E15" s="206" t="inlineStr">
        <is>
          <t>type Data type to restore
3: Restore factory k value</t>
        </is>
      </c>
    </row>
    <row r="16" s="17">
      <c r="B16" s="4" t="inlineStr">
        <is>
          <t>Dead Pixel Calibration</t>
        </is>
      </c>
      <c r="C16" s="20" t="inlineStr">
        <is>
          <t>Automatic Dead Pixel Calibration</t>
        </is>
      </c>
      <c r="D16" s="8" t="inlineStr">
        <is>
          <t>adv_auto_dpc_cali</t>
        </is>
      </c>
      <c r="E16" s="8" t="n"/>
    </row>
    <row r="17" ht="42.75" customHeight="1" s="17">
      <c r="C17" s="20" t="inlineStr">
        <is>
          <t>Cursor Switch Setting</t>
        </is>
      </c>
      <c r="D17" s="8" t="inlineStr">
        <is>
          <t>adv_cursor_switch_status_set</t>
        </is>
      </c>
      <c r="E17" s="206" t="inlineStr">
        <is>
          <t>status Set cursor switch status.
0: disable
1: enable</t>
        </is>
      </c>
    </row>
    <row r="18" ht="42.75" customHeight="1" s="17">
      <c r="C18" s="20" t="inlineStr">
        <is>
          <t>Cursor Switch Acquisition</t>
        </is>
      </c>
      <c r="D18" s="8" t="inlineStr">
        <is>
          <t>adv_cursor_switch_status_get</t>
        </is>
      </c>
      <c r="E18" s="206" t="inlineStr">
        <is>
          <t>status Get cursor switch status.
0: disable
1: enable</t>
        </is>
      </c>
    </row>
    <row r="19">
      <c r="C19" s="20" t="inlineStr">
        <is>
          <t>Cursor Position Setting</t>
        </is>
      </c>
      <c r="D19" s="8" t="inlineStr">
        <is>
          <t>adv_cursor_position_set</t>
        </is>
      </c>
      <c r="E19" t="inlineStr">
        <is>
          <t>point_pos Set the cursor coordinates.</t>
        </is>
      </c>
      <c r="G19" s="21" t="inlineStr">
        <is>
          <t>Both coordinates x and y are unsigned types, negative numbers are not allowed.</t>
        </is>
      </c>
    </row>
    <row r="20">
      <c r="C20" s="20" t="inlineStr">
        <is>
          <t>Cursor Position Acquisition</t>
        </is>
      </c>
      <c r="D20" s="8" t="inlineStr">
        <is>
          <t>adv_cursor_position_get</t>
        </is>
      </c>
      <c r="E20" t="inlineStr">
        <is>
          <t>point_pos Get the cursor coordinates.</t>
        </is>
      </c>
    </row>
    <row r="21" ht="28.5" customHeight="1" s="17">
      <c r="C21" s="22" t="inlineStr">
        <is>
          <t>Set the point where the cursor is located as a dead pixel
(Manual Calibration)</t>
        </is>
      </c>
      <c r="D21" s="8" t="inlineStr">
        <is>
          <t>adv_set_cursor_position_to_dpc</t>
        </is>
      </c>
      <c r="E21" t="inlineStr">
        <is>
          <t>point_pos Set the cursor coordinates.</t>
        </is>
      </c>
      <c r="G21" s="21" t="inlineStr">
        <is>
          <t>Both coordinates x and y are unsigned types, negative numbers are not allowed.</t>
        </is>
      </c>
    </row>
    <row r="22" ht="28.5" customHeight="1" s="17">
      <c r="C22" s="22" t="inlineStr">
        <is>
          <t>Set the cursor point as non-blind pixel
(Manual calibration)</t>
        </is>
      </c>
      <c r="D22" s="8" t="inlineStr">
        <is>
          <t>adv_set_cursor_position_to_non_dpc</t>
        </is>
      </c>
      <c r="E22" t="inlineStr">
        <is>
          <t>point_pos Set the cursor coordinates.</t>
        </is>
      </c>
      <c r="G22" s="21" t="inlineStr">
        <is>
          <t>Both coordinates x and y are unsigned types, negative numbers are not allowed.</t>
        </is>
      </c>
    </row>
    <row r="23" s="17">
      <c r="C23" s="20" t="inlineStr">
        <is>
          <t>Cancel the blind pixel calibration data</t>
        </is>
      </c>
      <c r="D23" s="8" t="inlineStr">
        <is>
          <t>adv_dpc_calib_data_cancel</t>
        </is>
      </c>
      <c r="E23" s="8" t="n"/>
    </row>
    <row r="24" ht="28.5" customHeight="1" s="17">
      <c r="C24" s="20" t="inlineStr">
        <is>
          <t>Save blind pixel calibration data</t>
        </is>
      </c>
      <c r="D24" s="8" t="inlineStr">
        <is>
          <t>basic_save_data</t>
        </is>
      </c>
      <c r="E24" s="206" t="inlineStr">
        <is>
          <t>type the type of data to be saved
3: Save blind pixel calibration data</t>
        </is>
      </c>
    </row>
    <row r="25" s="17">
      <c r="C25" s="20" t="inlineStr">
        <is>
          <t>Clear Dead Pixel Data</t>
        </is>
      </c>
      <c r="D25" s="8" t="inlineStr">
        <is>
          <t>adv_dpc_calib_data_clear</t>
        </is>
      </c>
      <c r="E25" s="8" t="n"/>
    </row>
    <row r="26" ht="28.5" customHeight="1" s="17">
      <c r="C26" s="20" t="inlineStr">
        <is>
          <t>Restore Factory Dead Pixel Data</t>
        </is>
      </c>
      <c r="D26" s="8" t="inlineStr">
        <is>
          <t>basic_restore_default_data</t>
        </is>
      </c>
      <c r="E26" s="206" t="inlineStr">
        <is>
          <t>type the type of data to be restored
4: Restore factory blind pixel calibration data</t>
        </is>
      </c>
    </row>
    <row r="27" s="17">
      <c r="B27" s="4" t="inlineStr">
        <is>
          <t>Lid calibration</t>
        </is>
      </c>
      <c r="C27" s="8" t="inlineStr">
        <is>
          <t>Calibrate Lid</t>
        </is>
      </c>
      <c r="D27" s="8" t="inlineStr">
        <is>
          <t>adv_auto_rmcover_cali</t>
        </is>
      </c>
      <c r="E27" s="8" t="n"/>
    </row>
    <row r="28" ht="28.5" customHeight="1" s="17">
      <c r="C28" s="20" t="inlineStr">
        <is>
          <t>Save Pot Lid</t>
        </is>
      </c>
      <c r="D28" s="8" t="inlineStr">
        <is>
          <t>basic_save_data</t>
        </is>
      </c>
      <c r="E28" s="206" t="inlineStr">
        <is>
          <t>type the type of data to be saved
4: Save lid calibration data</t>
        </is>
      </c>
    </row>
    <row r="29" s="17">
      <c r="C29" s="8" t="inlineStr">
        <is>
          <t>Cancel lid calibration result</t>
        </is>
      </c>
      <c r="D29" s="8" t="inlineStr">
        <is>
          <t>adv_rmcover_calib_cancel</t>
        </is>
      </c>
      <c r="E29" s="8" t="n"/>
    </row>
    <row r="30" s="17">
      <c r="C30" s="8" t="inlineStr">
        <is>
          <t>Clear Pot Lid</t>
        </is>
      </c>
      <c r="D30" s="8" t="inlineStr">
        <is>
          <t>adv_rmcover_calib_clear</t>
        </is>
      </c>
      <c r="E30" s="8" t="n"/>
    </row>
    <row r="31" ht="28.5" customHeight="1" s="17">
      <c r="C31" s="20" t="inlineStr">
        <is>
          <t>Restore Factory Pot Lid Data</t>
        </is>
      </c>
      <c r="D31" s="8" t="inlineStr">
        <is>
          <t>basic_restore_default_data</t>
        </is>
      </c>
      <c r="E31" s="206" t="inlineStr">
        <is>
          <t>type the type of data to be restored
5: Restore factory lid calibration data</t>
        </is>
      </c>
    </row>
    <row r="33">
      <c r="A33" s="4" t="inlineStr">
        <is>
          <t>System Function</t>
        </is>
      </c>
      <c r="B33" s="4" t="inlineStr">
        <is>
          <t>Firmware Update</t>
        </is>
      </c>
      <c r="C33" s="20" t="inlineStr">
        <is>
          <t>Switch update mode</t>
        </is>
      </c>
      <c r="D33" t="inlineStr">
        <is>
          <t>basic_reset_to_rom</t>
        </is>
      </c>
    </row>
    <row r="34" ht="42.75" customHeight="1" s="17">
      <c r="B34" s="4" t="inlineStr">
        <is>
          <t>Anti-Burn Protection Switch</t>
        </is>
      </c>
      <c r="C34" s="20" t="inlineStr">
        <is>
          <t>Settings</t>
        </is>
      </c>
      <c r="D34" s="23" t="inlineStr">
        <is>
          <t>basic_sun_detect_switch_set</t>
        </is>
      </c>
      <c r="E34" s="36" t="inlineStr">
        <is>
          <t>status anti-burn switch status
0: disable
1: enable</t>
        </is>
      </c>
    </row>
    <row r="35" s="17">
      <c r="C35" s="8" t="inlineStr">
        <is>
          <t>Get</t>
        </is>
      </c>
      <c r="D35" t="inlineStr">
        <is>
          <t>basic_sun_detect_switch_get</t>
        </is>
      </c>
      <c r="E35" s="20" t="inlineStr">
        <is>
          <t>status get current anti-burn switch status</t>
        </is>
      </c>
    </row>
    <row r="36" ht="42.75" customHeight="1" s="17">
      <c r="B36" s="4" t="inlineStr">
        <is>
          <t>Module Sleep</t>
        </is>
      </c>
      <c r="C36" s="20" t="inlineStr">
        <is>
          <t>Settings</t>
        </is>
      </c>
      <c r="D36" s="20" t="inlineStr">
        <is>
          <t>adv_device_sleep_set</t>
        </is>
      </c>
      <c r="E36" s="22" t="inlineStr">
        <is>
          <t>status module sleep status
0: disable
1: enable</t>
        </is>
      </c>
    </row>
    <row r="37" s="17">
      <c r="C37" s="8" t="inlineStr">
        <is>
          <t>Get</t>
        </is>
      </c>
      <c r="D37" s="20" t="inlineStr">
        <is>
          <t>adv_device_sleep_get</t>
        </is>
      </c>
      <c r="E37" s="20" t="inlineStr">
        <is>
          <t>status get current module sleep status</t>
        </is>
      </c>
    </row>
    <row r="38" ht="42.75" customHeight="1" s="17">
      <c r="B38" s="4" t="inlineStr">
        <is>
          <t>Boot Logo</t>
        </is>
      </c>
      <c r="C38" s="20" t="inlineStr">
        <is>
          <t>Settings</t>
        </is>
      </c>
      <c r="D38" s="20" t="inlineStr">
        <is>
          <t>adv_boot_logo_status_set</t>
        </is>
      </c>
      <c r="E38" s="22" t="inlineStr">
        <is>
          <t>status boot logo enable status
0: disable
1: enable</t>
        </is>
      </c>
    </row>
    <row r="39" s="17">
      <c r="C39" s="8" t="inlineStr">
        <is>
          <t>Get</t>
        </is>
      </c>
      <c r="D39" s="20" t="inlineStr">
        <is>
          <t>adv_boot_logo_status_get</t>
        </is>
      </c>
      <c r="E39" s="20" t="inlineStr">
        <is>
          <t>status get current boot logo enable status</t>
        </is>
      </c>
    </row>
    <row r="40" ht="42.75" customHeight="1" s="17">
      <c r="B40" s="4" t="inlineStr">
        <is>
          <t>DVP/I2C Voltage Switch</t>
        </is>
      </c>
      <c r="C40" s="8" t="inlineStr">
        <is>
          <t>Settings</t>
        </is>
      </c>
      <c r="D40" s="20" t="inlineStr">
        <is>
          <t>adv_voltage_change_set</t>
        </is>
      </c>
      <c r="E40" s="22" t="inlineStr">
        <is>
          <t>voltage the voltage to switch
0: 1.8V
1: 3.3V</t>
        </is>
      </c>
    </row>
    <row r="41" s="17">
      <c r="C41" s="8" t="inlineStr">
        <is>
          <t>Get</t>
        </is>
      </c>
      <c r="D41" s="24" t="inlineStr">
        <is>
          <t>adv_voltage_change_get</t>
        </is>
      </c>
      <c r="E41" s="20" t="inlineStr">
        <is>
          <t>voltage get current voltage</t>
        </is>
      </c>
    </row>
    <row r="42" ht="28.5" customHeight="1" s="17">
      <c r="B42" s="4" t="inlineStr">
        <is>
          <t>Parameter Save</t>
        </is>
      </c>
      <c r="C42" s="20" t="inlineStr">
        <is>
          <t>Save</t>
        </is>
      </c>
      <c r="D42" s="20" t="inlineStr">
        <is>
          <t>basic_save_data</t>
        </is>
      </c>
      <c r="E42" s="22" t="inlineStr">
        <is>
          <t>type the type of parameter to be saved
1: System parameter</t>
        </is>
      </c>
    </row>
    <row r="43" ht="28.5" customHeight="1" s="17">
      <c r="C43" s="20" t="inlineStr">
        <is>
          <t>Restore</t>
        </is>
      </c>
      <c r="D43" s="20" t="inlineStr">
        <is>
          <t>basic_restore_default_data</t>
        </is>
      </c>
      <c r="E43" s="22" t="inlineStr">
        <is>
          <t>type to restore data type
2: System parameters</t>
        </is>
      </c>
    </row>
    <row r="45" ht="28.5" customHeight="1" s="17">
      <c r="A45" s="4" t="inlineStr">
        <is>
          <t>Get Device Information</t>
        </is>
      </c>
      <c r="B45" s="4" t="inlineStr">
        <is>
          <t>Get Module Information</t>
        </is>
      </c>
      <c r="C45" t="inlineStr">
        <is>
          <t>Device Name</t>
        </is>
      </c>
      <c r="D45" t="inlineStr">
        <is>
          <t>basic_device_info_get</t>
        </is>
      </c>
      <c r="E45" s="22" t="inlineStr">
        <is>
          <t>device_info_type
1: Device name</t>
        </is>
      </c>
    </row>
    <row r="46" s="17">
      <c r="C46" t="inlineStr">
        <is>
          <t>Firmware Version</t>
        </is>
      </c>
      <c r="D46" t="inlineStr">
        <is>
          <t>basic_device_info_get</t>
        </is>
      </c>
      <c r="E46" s="20" t="inlineStr">
        <is>
          <t>2: Firmware version</t>
        </is>
      </c>
    </row>
    <row r="47" s="17">
      <c r="C47" t="inlineStr">
        <is>
          <t>VID</t>
        </is>
      </c>
      <c r="D47" t="inlineStr">
        <is>
          <t>basic_device_info_get</t>
        </is>
      </c>
      <c r="E47" s="20" t="inlineStr">
        <is>
          <t>4：vendor id</t>
        </is>
      </c>
    </row>
    <row r="48" s="17">
      <c r="C48" t="inlineStr">
        <is>
          <t>PID</t>
        </is>
      </c>
      <c r="D48" t="inlineStr">
        <is>
          <t>basic_device_info_get</t>
        </is>
      </c>
      <c r="E48" s="20" t="inlineStr">
        <is>
          <t>5：product id</t>
        </is>
      </c>
    </row>
    <row r="49" s="17">
      <c r="C49" t="inlineStr">
        <is>
          <t>PN</t>
        </is>
      </c>
      <c r="D49" t="inlineStr">
        <is>
          <t>basic_device_info_get</t>
        </is>
      </c>
      <c r="E49" s="20" t="inlineStr">
        <is>
          <t>6：product number</t>
        </is>
      </c>
    </row>
    <row r="50" s="17">
      <c r="C50" t="inlineStr">
        <is>
          <t>SN</t>
        </is>
      </c>
      <c r="D50" t="inlineStr">
        <is>
          <t>basic_device_info_get</t>
        </is>
      </c>
      <c r="E50" s="20" t="inlineStr">
        <is>
          <t>7：serial number</t>
        </is>
      </c>
    </row>
    <row r="51" s="17">
      <c r="B51" t="inlineStr">
        <is>
          <t>Get module temperature</t>
        </is>
      </c>
      <c r="D51" t="inlineStr">
        <is>
          <t>basic_device_temp_get</t>
        </is>
      </c>
      <c r="E51" s="20" t="inlineStr">
        <is>
          <t>temperature acquired temperature</t>
        </is>
      </c>
    </row>
    <row r="52" s="17">
      <c r="B52" t="inlineStr">
        <is>
          <t>Get the time since power on</t>
        </is>
      </c>
      <c r="D52" t="inlineStr">
        <is>
          <t>adv_powered_time_get</t>
        </is>
      </c>
      <c r="E52" s="20" t="inlineStr">
        <is>
          <t>time acquired uptime</t>
        </is>
      </c>
    </row>
    <row r="53" ht="57" customHeight="1" s="17">
      <c r="B53" s="25" t="inlineStr">
        <is>
          <t>Acquire the highest temperature point in the region of interest</t>
        </is>
      </c>
      <c r="D53" s="23" t="inlineStr">
        <is>
          <t>adv_temp_coordinate_of_interest_get</t>
        </is>
      </c>
      <c r="E53" s="22" t="inlineStr">
        <is>
          <t>rect_pos coordinates of the region of interest
start_point: top-left starting point coordinates of the region of interest
end_point: bottom-right ending point coordinates of the region of interest</t>
        </is>
      </c>
      <c r="F53" s="26" t="inlineStr">
        <is>
          <t>rect_temp_info temperature information of the region of interest
ave_temp: average temperature of the region of interest
max_min_temp_info: coordinates and temperature of the highest temperature point, coordinates and temperature of the lowest temperature point.</t>
        </is>
      </c>
    </row>
    <row r="55" ht="185.25" customHeight="1" s="17">
      <c r="A55" s="4" t="inlineStr">
        <is>
          <t>Video output related</t>
        </is>
      </c>
      <c r="B55" s="4" t="inlineStr">
        <is>
          <t>Digital video output</t>
        </is>
      </c>
      <c r="C55" s="4" t="inlineStr">
        <is>
          <t>Settings</t>
        </is>
      </c>
      <c r="D55" s="23" t="inlineStr">
        <is>
          <t>adv_digital_video_output_set</t>
        </is>
      </c>
      <c r="E55" s="22" t="inlineStr">
        <is>
          <t>output_info set output information
video_output_status: digital video output enable status
0: disable (setting disable will turn off digital output)
1: enable
video_output_format: digital video output mode
0: USB output
1: DVP output
2: BT656 progressive output
3: MIPI output
4: BT656 interlaced output
video_output_fps: output frame rate (based on the camera selection)
MINI2_256: 25 or 50
MINI2_384 640: 30 or 60</t>
        </is>
      </c>
      <c r="G55" s="27" t="n"/>
    </row>
    <row r="56" s="17">
      <c r="C56" s="4" t="inlineStr">
        <is>
          <t>Get</t>
        </is>
      </c>
      <c r="D56" t="inlineStr">
        <is>
          <t>adv_digital_video_output_get</t>
        </is>
      </c>
      <c r="E56" s="20" t="inlineStr">
        <is>
          <t>output_info get current digital video output information</t>
        </is>
      </c>
    </row>
    <row r="57" ht="42.75" customHeight="1" s="17">
      <c r="B57" s="4" t="inlineStr">
        <is>
          <t>Analog video output</t>
        </is>
      </c>
      <c r="C57" s="4" t="inlineStr">
        <is>
          <t>Settings</t>
        </is>
      </c>
      <c r="D57" t="inlineStr">
        <is>
          <t>adv_analog_video_output_set</t>
        </is>
      </c>
      <c r="E57" s="22" t="inlineStr">
        <is>
          <t>status analog video output enable status
0: disable (setting disable will turn off analog output)
1: enable</t>
        </is>
      </c>
      <c r="F57" s="26" t="inlineStr">
        <is>
          <t>format analog video output mode
5: NTSC output
6: PAL output</t>
        </is>
      </c>
    </row>
    <row r="58" s="17">
      <c r="C58" s="205" t="inlineStr">
        <is>
          <t>Get</t>
        </is>
      </c>
      <c r="D58" t="inlineStr">
        <is>
          <t>adv_analog_video_output_get</t>
        </is>
      </c>
      <c r="E58" s="20" t="inlineStr">
        <is>
          <t>status get current analog video output enable status</t>
        </is>
      </c>
      <c r="F58" t="inlineStr">
        <is>
          <t>format get current analog video output mode</t>
        </is>
      </c>
    </row>
    <row r="59" ht="42.75" customHeight="1" s="17">
      <c r="B59" s="4" t="inlineStr">
        <is>
          <t>Switch detector frame rate</t>
        </is>
      </c>
      <c r="C59" s="4" t="inlineStr">
        <is>
          <t>Settings</t>
        </is>
      </c>
      <c r="D59" t="inlineStr">
        <is>
          <t>adv_output_frame_rate_set</t>
        </is>
      </c>
      <c r="E59" s="22" t="inlineStr">
        <is>
          <t>rate desired frame rate to switch to
MINI2_256: 25 or 50
MINI2_384 640: 30 or 60</t>
        </is>
      </c>
    </row>
    <row r="60" s="17">
      <c r="C60" s="4" t="inlineStr">
        <is>
          <t>Get</t>
        </is>
      </c>
      <c r="D60" t="inlineStr">
        <is>
          <t>adv_output_frame_rate_get</t>
        </is>
      </c>
      <c r="E60" s="20" t="inlineStr">
        <is>
          <t>rate get current detector frame rate</t>
        </is>
      </c>
    </row>
    <row r="61" ht="99.75" customHeight="1" s="17">
      <c r="B61" s="4" t="inlineStr">
        <is>
          <t>Image Data Source</t>
        </is>
      </c>
      <c r="C61" s="4" t="inlineStr">
        <is>
          <t>Settings</t>
        </is>
      </c>
      <c r="D61" s="20" t="inlineStr">
        <is>
          <t>adv_stream_source_mode_set</t>
        </is>
      </c>
      <c r="E61" s="22" t="inlineStr">
        <is>
          <t>src_stream_mode supports switching image data sources
0: IR_SOURCE_MODE
1: KBC_SOURCE_MODE
2: TNR_SOURCE_MODE
5: SNR_SOURCE_MODE
6: DDE_SOURCE_MODE
11: YUV_SOURCE_MODE</t>
        </is>
      </c>
      <c r="G61" s="29" t="inlineStr">
        <is>
          <t>The image data source types supported by the current mechanism are listed on the left.
Do not switch to image data source types not supported by the current mechanism!</t>
        </is>
      </c>
    </row>
    <row r="62" ht="85.5" customHeight="1" s="17">
      <c r="C62" s="4" t="inlineStr">
        <is>
          <t>Get</t>
        </is>
      </c>
      <c r="D62" s="23" t="inlineStr">
        <is>
          <t>adv_stream_source_mode_get</t>
        </is>
      </c>
      <c r="E62" s="20" t="inlineStr">
        <is>
          <t>src_stream_mode gets the current image data source</t>
        </is>
      </c>
      <c r="G62" s="30" t="inlineStr">
        <is>
          <t>By obtaining the interface, the value of src_stream_mode is obtained
If the value is 0, the current image data source is IR_SOURCE_MODE
If the value is 5, the current image data source is
SNR_SOURCE_MODE
and so on</t>
        </is>
      </c>
    </row>
    <row r="63" ht="71.25" customHeight="1" s="17">
      <c r="B63" s="4" t="inlineStr">
        <is>
          <t>YUV format</t>
        </is>
      </c>
      <c r="C63" s="4" t="inlineStr">
        <is>
          <t>Settings</t>
        </is>
      </c>
      <c r="D63" s="23" t="inlineStr">
        <is>
          <t>adv_yuv_format_set</t>
        </is>
      </c>
      <c r="E63" s="22" t="inlineStr">
        <is>
          <t>format the YUV format to be set
0: UYVY
1: VYUY
2: YUYV
3: YVYU</t>
        </is>
      </c>
    </row>
    <row r="64" s="17">
      <c r="C64" s="4" t="inlineStr">
        <is>
          <t>Get</t>
        </is>
      </c>
      <c r="D64" t="inlineStr">
        <is>
          <t>adv_yuv_format_get</t>
        </is>
      </c>
      <c r="E64" s="20" t="inlineStr">
        <is>
          <t>format gets the YUV format</t>
        </is>
      </c>
    </row>
    <row r="65" ht="42.75" customHeight="1" s="17">
      <c r="B65" s="4" t="inlineStr">
        <is>
          <t>Freeze frame</t>
        </is>
      </c>
      <c r="C65" s="4" t="inlineStr">
        <is>
          <t>Settings</t>
        </is>
      </c>
      <c r="D65" s="23" t="inlineStr">
        <is>
          <t>adv_picture_freeze_status_set</t>
        </is>
      </c>
      <c r="E65" s="22" t="inlineStr">
        <is>
          <t>status screen freeze enable status
0: disable
1: enable</t>
        </is>
      </c>
    </row>
    <row r="66" s="17">
      <c r="C66" s="4" t="inlineStr">
        <is>
          <t>Get</t>
        </is>
      </c>
      <c r="D66" t="inlineStr">
        <is>
          <t>adv_picture_freeze_status_get</t>
        </is>
      </c>
      <c r="E66" s="20" t="inlineStr">
        <is>
          <t>status gets the screen freeze enable status</t>
        </is>
      </c>
    </row>
    <row r="67" ht="71.25" customHeight="1" s="17">
      <c r="B67" s="4" t="inlineStr">
        <is>
          <t>Mirror flip</t>
        </is>
      </c>
      <c r="C67" s="4" t="inlineStr">
        <is>
          <t>Settings</t>
        </is>
      </c>
      <c r="D67" s="23" t="inlineStr">
        <is>
          <t>basic_mirror_and_flip_status_set</t>
        </is>
      </c>
      <c r="E67" s="22" t="inlineStr">
        <is>
          <t>value mirror and flip status
0: neither mirror nor flip
1: only mirror
2: only flip
3: mirror and flip</t>
        </is>
      </c>
    </row>
    <row r="68" s="17">
      <c r="C68" s="4" t="inlineStr">
        <is>
          <t>Get</t>
        </is>
      </c>
      <c r="D68" t="inlineStr">
        <is>
          <t>basic_mirror_and_flip_status_get</t>
        </is>
      </c>
      <c r="E68" s="20" t="inlineStr">
        <is>
          <t>value gets the mirror and flip status</t>
        </is>
      </c>
    </row>
    <row r="69" ht="42.75" customHeight="1" s="17">
      <c r="B69" s="4" t="inlineStr">
        <is>
          <t>Electronic zoom - center</t>
        </is>
      </c>
      <c r="C69" s="4" t="inlineStr">
        <is>
          <t>Settings</t>
        </is>
      </c>
      <c r="D69" s="23" t="inlineStr">
        <is>
          <t>basic_center_zoom_set</t>
        </is>
      </c>
      <c r="E69" s="22" t="inlineStr">
        <is>
          <t>scale sets the zoom factor
Precision: 0.1
Range: 1-8</t>
        </is>
      </c>
      <c r="G69" s="31" t="inlineStr">
        <is>
          <t xml:space="preserve">
The zoom precision is accurate to 0.1, and inputs exceeding 0.1 will be rounded.
For example, if you input 1.45, the actual zoom value will be 1.5.</t>
        </is>
      </c>
    </row>
    <row r="70" s="17">
      <c r="C70" s="4" t="inlineStr">
        <is>
          <t>Get</t>
        </is>
      </c>
      <c r="D70" t="inlineStr">
        <is>
          <t>basic_center_zoom_get</t>
        </is>
      </c>
      <c r="E70" s="20" t="inlineStr">
        <is>
          <t>scale gets the electronic zoom factor</t>
        </is>
      </c>
    </row>
    <row r="71">
      <c r="B71" s="4" t="inlineStr">
        <is>
          <t>Electronic zoom - coordinate</t>
        </is>
      </c>
      <c r="C71" s="4" t="inlineStr">
        <is>
          <t>Settings</t>
        </is>
      </c>
      <c r="D71" t="inlineStr">
        <is>
          <t>adv_coordinate_zoom_set</t>
        </is>
      </c>
      <c r="E71" s="20" t="inlineStr">
        <is>
          <t>point_pos specifies the coordinate as the zoom center</t>
        </is>
      </c>
      <c r="F71" s="37" t="inlineStr">
        <is>
          <t>scale sets the zoom factor</t>
        </is>
      </c>
      <c r="G71" s="21" t="inlineStr">
        <is>
          <t>Both coordinates x and y are unsigned types, negative numbers are not allowed.</t>
        </is>
      </c>
    </row>
    <row r="72">
      <c r="C72" s="4" t="inlineStr">
        <is>
          <t>Get</t>
        </is>
      </c>
      <c r="D72" t="inlineStr">
        <is>
          <t>adv_coordinate_zoom_get</t>
        </is>
      </c>
      <c r="E72" s="20" t="inlineStr">
        <is>
          <t>point_pos gets the zoom center coordinate</t>
        </is>
      </c>
      <c r="F72" s="37" t="inlineStr">
        <is>
          <t>scale gets the zoom factor</t>
        </is>
      </c>
      <c r="G72" s="21" t="inlineStr">
        <is>
          <t>Both coordinates x and y are unsigned types, negative numbers are not allowed.</t>
        </is>
      </c>
    </row>
    <row r="73" s="17">
      <c r="B73" s="4" t="n"/>
      <c r="C73" s="4" t="n"/>
      <c r="E73" s="20" t="n"/>
      <c r="F73" s="37" t="n"/>
    </row>
    <row r="74" ht="156.75" customHeight="1" s="17">
      <c r="A74" s="4" t="inlineStr">
        <is>
          <t>Image adjustment related</t>
        </is>
      </c>
      <c r="B74" s="33" t="inlineStr">
        <is>
          <t>Scene Mode</t>
        </is>
      </c>
      <c r="C74" s="4" t="inlineStr">
        <is>
          <t>Settings</t>
        </is>
      </c>
      <c r="D74" t="inlineStr">
        <is>
          <t>basic_image_scene_mode_set</t>
        </is>
      </c>
      <c r="E74" s="22" t="inlineStr">
        <is>
          <t>Scene mode to be set
0: General mode (default)
3: Low temperature highlight
4: Linear stretch
5: Low contrast
6: High contrast
7: Highlight highlight
8: Reserved 1
9: Reserved 2
10: Reserved 3
11: Edge enhancement mode</t>
        </is>
      </c>
      <c r="G74" s="29" t="inlineStr">
        <is>
          <t>All supported scene modes of the current movement are listed on the left. Please select according to the actual usage.
Do not fill in unsupported values!</t>
        </is>
      </c>
    </row>
    <row r="75" s="17">
      <c r="C75" s="4" t="inlineStr">
        <is>
          <t>Get</t>
        </is>
      </c>
      <c r="D75" t="inlineStr">
        <is>
          <t>basic_current_image_scene_mode_get</t>
        </is>
      </c>
      <c r="E75" s="20" t="inlineStr">
        <is>
          <t>Scene mode obtained</t>
        </is>
      </c>
    </row>
    <row r="76" ht="185.25" customHeight="1" s="17">
      <c r="B76" s="4" t="inlineStr">
        <is>
          <t>Pseudo Color</t>
        </is>
      </c>
      <c r="C76" s="4" t="inlineStr">
        <is>
          <t>Settings</t>
        </is>
      </c>
      <c r="D76" s="23" t="inlineStr">
        <is>
          <t>basic_palette_idx_set</t>
        </is>
      </c>
      <c r="E76" s="22" t="inlineStr">
        <is>
          <t>Pseudo color index to be set
0: White hot
1: reserved
2: Golden
3: Iron red
4: Rainbow
5: Twilight
6: Aurora
7: Red hot
8: Jungle
9: Medical
10: Black hot
11: Golden red</t>
        </is>
      </c>
    </row>
    <row r="77" s="17">
      <c r="C77" s="4" t="inlineStr">
        <is>
          <t>Get</t>
        </is>
      </c>
      <c r="D77" t="inlineStr">
        <is>
          <t>basic_palette_idx_get</t>
        </is>
      </c>
      <c r="E77" s="20" t="inlineStr">
        <is>
          <t>Pseudo color index obtained, same as above</t>
        </is>
      </c>
    </row>
    <row r="78" s="17">
      <c r="B78" s="4" t="inlineStr">
        <is>
          <t>Detail Enhancement</t>
        </is>
      </c>
      <c r="C78" s="4" t="inlineStr">
        <is>
          <t>Settings</t>
        </is>
      </c>
      <c r="D78" t="inlineStr">
        <is>
          <t>basic_image_detail_enhance_level_set</t>
        </is>
      </c>
      <c r="E78" s="20" t="inlineStr">
        <is>
          <t>Level to set detail enhancement, range 0~100</t>
        </is>
      </c>
    </row>
    <row r="79" s="17">
      <c r="C79" s="4" t="inlineStr">
        <is>
          <t>Get</t>
        </is>
      </c>
      <c r="D79" t="inlineStr">
        <is>
          <t>basic_current_detail_enhance_level_get</t>
        </is>
      </c>
      <c r="E79" s="20" t="inlineStr">
        <is>
          <t>Level of detail enhancement obtained</t>
        </is>
      </c>
    </row>
    <row r="80" s="17">
      <c r="B80" s="4" t="inlineStr">
        <is>
          <t>Brightness</t>
        </is>
      </c>
      <c r="C80" s="4" t="inlineStr">
        <is>
          <t>Settings</t>
        </is>
      </c>
      <c r="D80" t="inlineStr">
        <is>
          <t>basic_image_brightness_level_set</t>
        </is>
      </c>
      <c r="E80" s="20" t="inlineStr">
        <is>
          <t>Level to set brightness, range 0~100</t>
        </is>
      </c>
    </row>
    <row r="81" s="17">
      <c r="C81" s="4" t="inlineStr">
        <is>
          <t>Get</t>
        </is>
      </c>
      <c r="D81" t="inlineStr">
        <is>
          <t>basic_current_brightness_level_get</t>
        </is>
      </c>
      <c r="E81" s="20" t="inlineStr">
        <is>
          <t>Level of brightness obtained</t>
        </is>
      </c>
    </row>
    <row r="82" s="17">
      <c r="B82" s="4" t="inlineStr">
        <is>
          <t>Contrast</t>
        </is>
      </c>
      <c r="C82" s="4" t="inlineStr">
        <is>
          <t>Settings</t>
        </is>
      </c>
      <c r="D82" t="inlineStr">
        <is>
          <t>basic_global_contrast_level_set</t>
        </is>
      </c>
      <c r="E82" s="20" t="inlineStr">
        <is>
          <t>Level to set contrast, range 0~100</t>
        </is>
      </c>
    </row>
    <row r="83" s="17">
      <c r="C83" s="4" t="inlineStr">
        <is>
          <t>Get</t>
        </is>
      </c>
      <c r="D83" t="inlineStr">
        <is>
          <t>basic_global_contrast_level_get</t>
        </is>
      </c>
      <c r="E83" s="20" t="inlineStr">
        <is>
          <t>Level of contrast obtained</t>
        </is>
      </c>
    </row>
    <row r="84" s="17">
      <c r="B84" s="4" t="inlineStr">
        <is>
          <t>Spatial Noise Reduction</t>
        </is>
      </c>
      <c r="C84" s="4" t="inlineStr">
        <is>
          <t>Settings</t>
        </is>
      </c>
      <c r="D84" t="inlineStr">
        <is>
          <t>basic_space_noise_reduce_level_set</t>
        </is>
      </c>
      <c r="E84" s="20" t="inlineStr">
        <is>
          <t>Level to set spatial noise reduction</t>
        </is>
      </c>
    </row>
    <row r="85" s="17">
      <c r="C85" s="4" t="inlineStr">
        <is>
          <t>Get</t>
        </is>
      </c>
      <c r="D85" t="inlineStr">
        <is>
          <t>basic_space_noise_reduce_level_get</t>
        </is>
      </c>
      <c r="E85" s="20" t="inlineStr">
        <is>
          <t>Level of spatial noise reduction obtained</t>
        </is>
      </c>
    </row>
    <row r="86" s="17">
      <c r="B86" s="4" t="inlineStr">
        <is>
          <t>Temporal Noise Reduction</t>
        </is>
      </c>
      <c r="C86" s="4" t="inlineStr">
        <is>
          <t>Settings</t>
        </is>
      </c>
      <c r="D86" t="inlineStr">
        <is>
          <t>basic_time_noise_reduce_level_set</t>
        </is>
      </c>
      <c r="E86" s="20" t="inlineStr">
        <is>
          <t>Level to set temporal noise reduction</t>
        </is>
      </c>
    </row>
    <row r="87" s="17">
      <c r="C87" s="4" t="inlineStr">
        <is>
          <t>Get</t>
        </is>
      </c>
      <c r="D87" s="34" t="inlineStr">
        <is>
          <t>basic_time_noise_reduce_level_get</t>
        </is>
      </c>
      <c r="E87" s="20" t="inlineStr">
        <is>
          <t>Level of temporal noise reduction obtained</t>
        </is>
      </c>
    </row>
    <row r="88" s="17">
      <c r="B88" s="4" t="inlineStr">
        <is>
          <t>Gamma Intensity</t>
        </is>
      </c>
      <c r="C88" s="4" t="inlineStr">
        <is>
          <t>Settings</t>
        </is>
      </c>
      <c r="D88" s="34" t="inlineStr">
        <is>
          <t>basic_gamma_rate_set</t>
        </is>
      </c>
      <c r="E88" s="20" t="inlineStr">
        <is>
          <t>Rate to set gamma level</t>
        </is>
      </c>
    </row>
    <row r="89" s="17">
      <c r="C89" s="4" t="inlineStr">
        <is>
          <t>Get</t>
        </is>
      </c>
      <c r="D89" s="34" t="inlineStr">
        <is>
          <t>basic_current_gamma_level_get</t>
        </is>
      </c>
      <c r="E89" s="20" t="inlineStr">
        <is>
          <t>Gamma level obtained</t>
        </is>
      </c>
    </row>
    <row r="90" s="17">
      <c r="B90" s="4" t="inlineStr">
        <is>
          <t>Edge enhancement level</t>
        </is>
      </c>
      <c r="C90" s="4" t="inlineStr">
        <is>
          <t>Settings</t>
        </is>
      </c>
      <c r="D90" t="inlineStr">
        <is>
          <t>adv_edge_enhance_set</t>
        </is>
      </c>
      <c r="E90" s="20" t="inlineStr">
        <is>
          <t>Level to set edge enhancement, range 0~2</t>
        </is>
      </c>
      <c r="G90" t="inlineStr">
        <is>
          <t>Image effect only takes effect under 'Scene Mode - Edge Enhancement Mode'</t>
        </is>
      </c>
    </row>
    <row r="91" s="17">
      <c r="C91" s="4" t="inlineStr">
        <is>
          <t>Get</t>
        </is>
      </c>
      <c r="D91" t="inlineStr">
        <is>
          <t>adv_edge_enhance_get</t>
        </is>
      </c>
      <c r="E91" s="20" t="inlineStr">
        <is>
          <t>Level acquisition of bevel gear</t>
        </is>
      </c>
    </row>
  </sheetData>
  <mergeCells count="34">
    <mergeCell ref="B71:B72"/>
    <mergeCell ref="A74:A91"/>
    <mergeCell ref="B90:B91"/>
    <mergeCell ref="A55:A72"/>
    <mergeCell ref="B61:B62"/>
    <mergeCell ref="B86:B87"/>
    <mergeCell ref="B42:B43"/>
    <mergeCell ref="B82:B83"/>
    <mergeCell ref="B38:B39"/>
    <mergeCell ref="B67:B68"/>
    <mergeCell ref="B57:B58"/>
    <mergeCell ref="B88:B89"/>
    <mergeCell ref="E1:F1"/>
    <mergeCell ref="B78:B79"/>
    <mergeCell ref="B69:B70"/>
    <mergeCell ref="A11:A31"/>
    <mergeCell ref="A33:A43"/>
    <mergeCell ref="B34:B35"/>
    <mergeCell ref="B84:B85"/>
    <mergeCell ref="B80:B81"/>
    <mergeCell ref="B65:B66"/>
    <mergeCell ref="B36:B37"/>
    <mergeCell ref="B74:B75"/>
    <mergeCell ref="B55:B56"/>
    <mergeCell ref="B40:B41"/>
    <mergeCell ref="B27:B31"/>
    <mergeCell ref="B76:B77"/>
    <mergeCell ref="B63:B64"/>
    <mergeCell ref="A2:A9"/>
    <mergeCell ref="B45:B50"/>
    <mergeCell ref="B11:B15"/>
    <mergeCell ref="B16:B26"/>
    <mergeCell ref="A45:A53"/>
    <mergeCell ref="B59:B6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wt liu</dc:creator>
  <dcterms:created xmlns:dcterms="http://purl.org/dc/terms/" xmlns:xsi="http://www.w3.org/2001/XMLSchema-instance" xsi:type="dcterms:W3CDTF">2015-06-05T18:17:00Z</dcterms:created>
  <dcterms:modified xmlns:dcterms="http://purl.org/dc/terms/" xmlns:xsi="http://www.w3.org/2001/XMLSchema-instance" xsi:type="dcterms:W3CDTF">2024-11-21T09:58:32Z</dcterms:modified>
  <cp:lastModifiedBy>TAN Yi</cp:lastModifiedBy>
  <cp:lastPrinted>2023-09-22T06:43:00Z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965BD681BA0E43AEA18A2F321C5E7691_13</vt:lpwstr>
  </property>
  <property name="KSOProductBuildVer" fmtid="{D5CDD505-2E9C-101B-9397-08002B2CF9AE}" pid="3">
    <vt:lpwstr xmlns:vt="http://schemas.openxmlformats.org/officeDocument/2006/docPropsVTypes">2052-12.1.0.17827</vt:lpwstr>
  </property>
</Properties>
</file>